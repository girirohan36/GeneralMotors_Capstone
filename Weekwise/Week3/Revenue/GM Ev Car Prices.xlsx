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xas-my.sharepoint.com/personal/rg52539_my_utexas_edu/Documents/Desktop/Spring Semester McCombs/Capstone General Motors/WeekWise/Week3/"/>
    </mc:Choice>
  </mc:AlternateContent>
  <xr:revisionPtr revIDLastSave="0" documentId="8_{9AADEC66-1B59-4289-8DA6-A2CE7CB11F73}" xr6:coauthVersionLast="47" xr6:coauthVersionMax="47" xr10:uidLastSave="{00000000-0000-0000-0000-000000000000}"/>
  <bookViews>
    <workbookView xWindow="-108" yWindow="-108" windowWidth="23256" windowHeight="12456" xr2:uid="{416A6761-9E56-4D80-8804-3C848B97AD7B}"/>
  </bookViews>
  <sheets>
    <sheet name="Total Revenue" sheetId="6" r:id="rId1"/>
    <sheet name="EV Sales" sheetId="5" r:id="rId2"/>
    <sheet name="Main" sheetId="2" r:id="rId3"/>
    <sheet name="Sales" sheetId="3" r:id="rId4"/>
    <sheet name="Sheet4" sheetId="4" state="hidden" r:id="rId5"/>
    <sheet name="Current" sheetId="1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D12" i="5"/>
  <c r="E12" i="5"/>
  <c r="F12" i="5"/>
  <c r="B12" i="5"/>
  <c r="F14" i="3"/>
  <c r="G14" i="3"/>
  <c r="H14" i="3"/>
  <c r="I14" i="3"/>
  <c r="J14" i="3"/>
</calcChain>
</file>

<file path=xl/sharedStrings.xml><?xml version="1.0" encoding="utf-8"?>
<sst xmlns="http://schemas.openxmlformats.org/spreadsheetml/2006/main" count="365" uniqueCount="108">
  <si>
    <t>Brand</t>
  </si>
  <si>
    <t>Model</t>
  </si>
  <si>
    <t>Type</t>
  </si>
  <si>
    <t>Chevrolet</t>
  </si>
  <si>
    <t>Bolt EV</t>
  </si>
  <si>
    <t>Hatchback</t>
  </si>
  <si>
    <t>Bolt EUV</t>
  </si>
  <si>
    <t>Compact SUV</t>
  </si>
  <si>
    <t>Equinox EV</t>
  </si>
  <si>
    <t>~$30,000 (estimated)</t>
  </si>
  <si>
    <t>Blazer EV</t>
  </si>
  <si>
    <t>Midsize SUV</t>
  </si>
  <si>
    <t>Silverado EV</t>
  </si>
  <si>
    <t>Full-Size Pickup Truck</t>
  </si>
  <si>
    <t>Cadillac</t>
  </si>
  <si>
    <t>Lyriq</t>
  </si>
  <si>
    <t>Luxury SUV</t>
  </si>
  <si>
    <t>Celestiq</t>
  </si>
  <si>
    <t>Ultra-Luxury Sedan</t>
  </si>
  <si>
    <t>~$340,000</t>
  </si>
  <si>
    <t>Escalade IQ</t>
  </si>
  <si>
    <t>Full-Size Luxury SUV</t>
  </si>
  <si>
    <t>~$130,000 (estimated)</t>
  </si>
  <si>
    <t>GMC</t>
  </si>
  <si>
    <t>Hummer EV Pickup</t>
  </si>
  <si>
    <t>Hummer EV SUV</t>
  </si>
  <si>
    <t>Full-Size SUV</t>
  </si>
  <si>
    <t>Sierra EV</t>
  </si>
  <si>
    <t>$50,000 (estimated)</t>
  </si>
  <si>
    <t>Buick</t>
  </si>
  <si>
    <t>Velite 7</t>
  </si>
  <si>
    <t>Compact SUV (China)</t>
  </si>
  <si>
    <t>~$23,000 (converted)</t>
  </si>
  <si>
    <t>S No</t>
  </si>
  <si>
    <t>~$32,000</t>
  </si>
  <si>
    <t>~$34,000</t>
  </si>
  <si>
    <t>$30,000 (estimated)</t>
  </si>
  <si>
    <r>
      <t>~$48,000 (3RS trim)</t>
    </r>
    <r>
      <rPr>
        <sz val="9.6"/>
        <color theme="1"/>
        <rFont val="Courier New"/>
        <family val="3"/>
      </rPr>
      <t>15</t>
    </r>
  </si>
  <si>
    <t>~$66,000 (RS AWD trim)3</t>
  </si>
  <si>
    <t>~$80,000 (RST trim)7</t>
  </si>
  <si>
    <r>
      <t>$68,890 (Luxury 3/Sport 3 trims)</t>
    </r>
    <r>
      <rPr>
        <sz val="9.6"/>
        <color theme="1"/>
        <rFont val="Courier New"/>
        <family val="3"/>
      </rPr>
      <t>268</t>
    </r>
  </si>
  <si>
    <t>~$400,000+</t>
  </si>
  <si>
    <t>~$150,000+</t>
  </si>
  <si>
    <t>~$110,000</t>
  </si>
  <si>
    <t>~$115,000</t>
  </si>
  <si>
    <t>~$80,000+</t>
  </si>
  <si>
    <t>N/A</t>
  </si>
  <si>
    <t xml:space="preserve">Max Price </t>
  </si>
  <si>
    <t>2024 Base</t>
  </si>
  <si>
    <t>~$32,00016</t>
  </si>
  <si>
    <t>$28,800 (estimated)</t>
  </si>
  <si>
    <t>~$34,00016</t>
  </si>
  <si>
    <t>~$48,000 (3RS trim)</t>
  </si>
  <si>
    <t>~$66,000 (RS AWD trim)</t>
  </si>
  <si>
    <t>~$80,000 (RST trim)</t>
  </si>
  <si>
    <r>
      <t>$57,195 (Tech trim)</t>
    </r>
    <r>
      <rPr>
        <sz val="9.6"/>
        <color theme="1"/>
        <rFont val="Courier New"/>
        <family val="3"/>
      </rPr>
      <t>21417</t>
    </r>
  </si>
  <si>
    <r>
      <t>$73,315 (Luxury 2 trim)</t>
    </r>
    <r>
      <rPr>
        <sz val="9.6"/>
        <color theme="1"/>
        <rFont val="Courier New"/>
        <family val="3"/>
      </rPr>
      <t>214</t>
    </r>
  </si>
  <si>
    <t>~$340,000 (estimated)</t>
  </si>
  <si>
    <t>$96,550 (2X trim)18</t>
  </si>
  <si>
    <t>$132,895 (3X Omega Limited)18</t>
  </si>
  <si>
    <t>~$129,415 (as shown)20</t>
  </si>
  <si>
    <t>~$23,000 (China)</t>
  </si>
  <si>
    <t>$30,695 (2LT trim)</t>
  </si>
  <si>
    <t>~$34,000 (Premier trim)</t>
  </si>
  <si>
    <t>$129,415 (3X Omega Limited)</t>
  </si>
  <si>
    <t>$73,315 (Luxury 2 trim)</t>
  </si>
  <si>
    <t xml:space="preserve">2023 Base </t>
  </si>
  <si>
    <t xml:space="preserve">2023 Max Price </t>
  </si>
  <si>
    <t xml:space="preserve">2024 Max </t>
  </si>
  <si>
    <t xml:space="preserve">Base Price </t>
  </si>
  <si>
    <t xml:space="preserve">2023 Max </t>
  </si>
  <si>
    <t>Total</t>
  </si>
  <si>
    <t>150 </t>
  </si>
  <si>
    <t>436 </t>
  </si>
  <si>
    <t>Sales in China</t>
  </si>
  <si>
    <t>Chevrolet Bolt EV</t>
  </si>
  <si>
    <t>Chevrolet Bolt EUV</t>
  </si>
  <si>
    <t>Chevrolet Equinox EV</t>
  </si>
  <si>
    <t>Chevrolet Blazer EV</t>
  </si>
  <si>
    <t>Chevrolet Silverado EV</t>
  </si>
  <si>
    <t>Cadillac Lyriq</t>
  </si>
  <si>
    <t>Cadillac Celestiq</t>
  </si>
  <si>
    <t>Cadillac Escalade IQ</t>
  </si>
  <si>
    <t>Buick Velite 7</t>
  </si>
  <si>
    <t>GMC Sierra EV</t>
  </si>
  <si>
    <t>GMC Hummer EV SUV</t>
  </si>
  <si>
    <t>GMC Hummer EV Pickup</t>
  </si>
  <si>
    <t>Chevrolet Bolt EV / EUV</t>
  </si>
  <si>
    <t>Buick Velite 7(China)</t>
  </si>
  <si>
    <t>Total Estimated Sales</t>
  </si>
  <si>
    <t xml:space="preserve">2022 Base </t>
  </si>
  <si>
    <t xml:space="preserve">2022 Max </t>
  </si>
  <si>
    <t xml:space="preserve">2021 Base </t>
  </si>
  <si>
    <t xml:space="preserve">2021 Max </t>
  </si>
  <si>
    <t xml:space="preserve">2020 Base </t>
  </si>
  <si>
    <t xml:space="preserve">2020 Max </t>
  </si>
  <si>
    <t>Total Revenue (USD)</t>
  </si>
  <si>
    <t>Chevrolet Bolt EV/EUV</t>
  </si>
  <si>
    <t>$5.91B</t>
  </si>
  <si>
    <t>$1.39B</t>
  </si>
  <si>
    <t>$1.56B</t>
  </si>
  <si>
    <t>$674.24M</t>
  </si>
  <si>
    <t>$2.64B</t>
  </si>
  <si>
    <t>$120M</t>
  </si>
  <si>
    <t>$100.5M</t>
  </si>
  <si>
    <t>$2.15B</t>
  </si>
  <si>
    <t>$143.04M</t>
  </si>
  <si>
    <t>$14.10B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</si>
</sst>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9.6"/>
      <color theme="1"/>
      <name val="Courier New"/>
      <family val="3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9.6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1" xfId="0" applyFont="1" applyBorder="1" applyAlignment="1">
      <alignment vertical="center" wrapText="1"/>
    </xf>
    <xf numFmtId="6" fontId="3" fillId="0" borderId="1" xfId="0" applyNumberFormat="1" applyFont="1" applyBorder="1" applyAlignment="1">
      <alignment vertical="center" wrapText="1"/>
    </xf>
    <xf numFmtId="0" fontId="0" fillId="0" borderId="2" xfId="0" applyBorder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2" borderId="2" xfId="0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6" fontId="3" fillId="0" borderId="2" xfId="0" applyNumberFormat="1" applyFont="1" applyBorder="1" applyAlignment="1">
      <alignment horizontal="center" vertical="center" wrapText="1"/>
    </xf>
    <xf numFmtId="0" fontId="5" fillId="0" borderId="1" xfId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6" fontId="5" fillId="0" borderId="1" xfId="1" applyNumberForma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6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2" xfId="0" applyNumberFormat="1" applyBorder="1"/>
    <xf numFmtId="3" fontId="0" fillId="0" borderId="2" xfId="0" applyNumberForma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3" fontId="0" fillId="3" borderId="2" xfId="0" applyNumberFormat="1" applyFill="1" applyBorder="1"/>
    <xf numFmtId="3" fontId="0" fillId="3" borderId="0" xfId="0" applyNumberFormat="1" applyFill="1"/>
    <xf numFmtId="3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1" fillId="0" borderId="2" xfId="0" applyFont="1" applyBorder="1"/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GM Ev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63648293963254"/>
          <c:y val="0.19587962962962963"/>
          <c:w val="0.84580796150481186"/>
          <c:h val="0.71560987168270629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Lit>
              <c:formatCode>General</c:formatCode>
              <c:ptCount val="5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</c:numLit>
          </c:cat>
          <c:val>
            <c:numRef>
              <c:f>'EV Sales'!$B$12:$F$12</c:f>
              <c:numCache>
                <c:formatCode>#,##0</c:formatCode>
                <c:ptCount val="5"/>
                <c:pt idx="0">
                  <c:v>20754</c:v>
                </c:pt>
                <c:pt idx="1">
                  <c:v>22074</c:v>
                </c:pt>
                <c:pt idx="2">
                  <c:v>39098</c:v>
                </c:pt>
                <c:pt idx="3">
                  <c:v>74331</c:v>
                </c:pt>
                <c:pt idx="4">
                  <c:v>113047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2-45B5-AB04-1D1FBD22D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40133344"/>
        <c:axId val="640132864"/>
      </c:lineChart>
      <c:catAx>
        <c:axId val="64013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32864"/>
        <c:crosses val="autoZero"/>
        <c:auto val="1"/>
        <c:lblAlgn val="ctr"/>
        <c:lblOffset val="100"/>
        <c:noMultiLvlLbl val="0"/>
      </c:catAx>
      <c:valAx>
        <c:axId val="6401328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3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768957</xdr:colOff>
      <xdr:row>0</xdr:row>
      <xdr:rowOff>72059</xdr:rowOff>
    </xdr:from>
    <xdr:to>
      <xdr:col>10</xdr:col>
      <xdr:colOff>38099</xdr:colOff>
      <xdr:row>14</xdr:row>
      <xdr:rowOff>72058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5489F-6F74-BEE8-6845-9897621EB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mc.com/electric/hummer-ev/pickup-truck" TargetMode="External"/><Relationship Id="rId3" Type="http://schemas.openxmlformats.org/officeDocument/2006/relationships/hyperlink" Target="https://www.fivestarchevy.net/chevy-research/chevy-bolt-ev-price/" TargetMode="External"/><Relationship Id="rId7" Type="http://schemas.openxmlformats.org/officeDocument/2006/relationships/hyperlink" Target="https://www.cerritosgm.com/models/2024-gmc-hummer+ev+pickup" TargetMode="External"/><Relationship Id="rId2" Type="http://schemas.openxmlformats.org/officeDocument/2006/relationships/hyperlink" Target="https://news.gm.com/home.detail.html/Pages/news/us/en/2024/oct/1007-silveradoev.html" TargetMode="External"/><Relationship Id="rId1" Type="http://schemas.openxmlformats.org/officeDocument/2006/relationships/hyperlink" Target="https://www.dyerchevy.com/blogs/5410/discover-the-2024-chevy-blazer-ev-trim-levels-that-suit-every-lifestyle" TargetMode="External"/><Relationship Id="rId6" Type="http://schemas.openxmlformats.org/officeDocument/2006/relationships/hyperlink" Target="https://www.cerritosgm.com/models/2024-gmc-hummer+ev+pickup" TargetMode="External"/><Relationship Id="rId5" Type="http://schemas.openxmlformats.org/officeDocument/2006/relationships/hyperlink" Target="https://www.chevrolet.com/electric/lineup" TargetMode="External"/><Relationship Id="rId4" Type="http://schemas.openxmlformats.org/officeDocument/2006/relationships/hyperlink" Target="https://www.fivestarchevy.net/chevy-research/chevy-bolt-ev-pri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92D7-D99B-4AA6-B228-75DF77C223D3}">
  <dimension ref="A1:B11"/>
  <sheetViews>
    <sheetView tabSelected="1" workbookViewId="0">
      <selection activeCell="C17" sqref="C17"/>
    </sheetView>
  </sheetViews>
  <sheetFormatPr defaultColWidth="17.33203125" defaultRowHeight="14.4" x14ac:dyDescent="0.3"/>
  <cols>
    <col min="1" max="1" width="19.77734375" customWidth="1"/>
    <col min="2" max="2" width="17" bestFit="1" customWidth="1"/>
  </cols>
  <sheetData>
    <row r="1" spans="1:2" x14ac:dyDescent="0.3">
      <c r="A1" s="37" t="s">
        <v>1</v>
      </c>
      <c r="B1" s="37" t="s">
        <v>96</v>
      </c>
    </row>
    <row r="2" spans="1:2" x14ac:dyDescent="0.3">
      <c r="A2" s="38" t="s">
        <v>97</v>
      </c>
      <c r="B2" s="5" t="s">
        <v>98</v>
      </c>
    </row>
    <row r="3" spans="1:2" x14ac:dyDescent="0.3">
      <c r="A3" s="38" t="s">
        <v>77</v>
      </c>
      <c r="B3" s="5" t="s">
        <v>99</v>
      </c>
    </row>
    <row r="4" spans="1:2" x14ac:dyDescent="0.3">
      <c r="A4" s="38" t="s">
        <v>78</v>
      </c>
      <c r="B4" s="5" t="s">
        <v>100</v>
      </c>
    </row>
    <row r="5" spans="1:2" x14ac:dyDescent="0.3">
      <c r="A5" s="38" t="s">
        <v>79</v>
      </c>
      <c r="B5" s="5" t="s">
        <v>101</v>
      </c>
    </row>
    <row r="6" spans="1:2" x14ac:dyDescent="0.3">
      <c r="A6" s="38" t="s">
        <v>80</v>
      </c>
      <c r="B6" s="5" t="s">
        <v>102</v>
      </c>
    </row>
    <row r="7" spans="1:2" x14ac:dyDescent="0.3">
      <c r="A7" s="38" t="s">
        <v>81</v>
      </c>
      <c r="B7" s="5" t="s">
        <v>103</v>
      </c>
    </row>
    <row r="8" spans="1:2" x14ac:dyDescent="0.3">
      <c r="A8" s="38" t="s">
        <v>82</v>
      </c>
      <c r="B8" s="5" t="s">
        <v>104</v>
      </c>
    </row>
    <row r="9" spans="1:2" ht="27.6" x14ac:dyDescent="0.3">
      <c r="A9" s="38" t="s">
        <v>86</v>
      </c>
      <c r="B9" s="5" t="s">
        <v>105</v>
      </c>
    </row>
    <row r="10" spans="1:2" x14ac:dyDescent="0.3">
      <c r="A10" s="38" t="s">
        <v>84</v>
      </c>
      <c r="B10" s="5" t="s">
        <v>106</v>
      </c>
    </row>
    <row r="11" spans="1:2" x14ac:dyDescent="0.3">
      <c r="A11" s="39" t="s">
        <v>71</v>
      </c>
      <c r="B11" s="40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B8A7-F939-4753-8500-3102DCB99AB8}">
  <dimension ref="A1:F15"/>
  <sheetViews>
    <sheetView zoomScale="115" zoomScaleNormal="115" workbookViewId="0">
      <selection activeCell="H18" sqref="H18"/>
    </sheetView>
  </sheetViews>
  <sheetFormatPr defaultColWidth="19.33203125" defaultRowHeight="14.4" x14ac:dyDescent="0.3"/>
  <cols>
    <col min="1" max="1" width="23.109375" style="33" customWidth="1"/>
    <col min="2" max="2" width="6.5546875" style="24" bestFit="1" customWidth="1"/>
    <col min="3" max="3" width="7.33203125" style="24" customWidth="1"/>
    <col min="4" max="5" width="6.5546875" style="24" bestFit="1" customWidth="1"/>
    <col min="6" max="6" width="7.77734375" style="24" bestFit="1" customWidth="1"/>
    <col min="7" max="16384" width="19.33203125" style="24"/>
  </cols>
  <sheetData>
    <row r="1" spans="1:6" x14ac:dyDescent="0.3">
      <c r="A1" s="35" t="s">
        <v>0</v>
      </c>
      <c r="B1" s="34">
        <v>2020</v>
      </c>
      <c r="C1" s="34">
        <v>2021</v>
      </c>
      <c r="D1" s="34">
        <v>2022</v>
      </c>
      <c r="E1" s="34">
        <v>2023</v>
      </c>
      <c r="F1" s="34">
        <v>2024</v>
      </c>
    </row>
    <row r="2" spans="1:6" x14ac:dyDescent="0.3">
      <c r="A2" s="35" t="s">
        <v>87</v>
      </c>
      <c r="B2" s="31">
        <v>20754</v>
      </c>
      <c r="C2" s="31">
        <v>22073</v>
      </c>
      <c r="D2" s="31">
        <v>38122</v>
      </c>
      <c r="E2" s="31">
        <v>62045</v>
      </c>
      <c r="F2" s="31">
        <v>8627</v>
      </c>
    </row>
    <row r="3" spans="1:6" x14ac:dyDescent="0.3">
      <c r="A3" s="35" t="s">
        <v>77</v>
      </c>
      <c r="B3" s="32">
        <v>0</v>
      </c>
      <c r="C3" s="32">
        <v>0</v>
      </c>
      <c r="D3" s="32">
        <v>0</v>
      </c>
      <c r="E3" s="32">
        <v>0</v>
      </c>
      <c r="F3" s="31">
        <v>28874</v>
      </c>
    </row>
    <row r="4" spans="1:6" x14ac:dyDescent="0.3">
      <c r="A4" s="35" t="s">
        <v>78</v>
      </c>
      <c r="B4" s="32">
        <v>0</v>
      </c>
      <c r="C4" s="32">
        <v>0</v>
      </c>
      <c r="D4" s="32">
        <v>0</v>
      </c>
      <c r="E4" s="32">
        <v>482</v>
      </c>
      <c r="F4" s="31">
        <v>23115</v>
      </c>
    </row>
    <row r="5" spans="1:6" x14ac:dyDescent="0.3">
      <c r="A5" s="35" t="s">
        <v>79</v>
      </c>
      <c r="B5" s="32">
        <v>0</v>
      </c>
      <c r="C5" s="32">
        <v>0</v>
      </c>
      <c r="D5" s="32">
        <v>0</v>
      </c>
      <c r="E5" s="31">
        <v>1000</v>
      </c>
      <c r="F5" s="31">
        <v>7428</v>
      </c>
    </row>
    <row r="6" spans="1:6" x14ac:dyDescent="0.3">
      <c r="A6" s="35" t="s">
        <v>80</v>
      </c>
      <c r="B6" s="32">
        <v>0</v>
      </c>
      <c r="C6" s="32">
        <v>0</v>
      </c>
      <c r="D6" s="32">
        <v>122</v>
      </c>
      <c r="E6" s="31">
        <v>9154</v>
      </c>
      <c r="F6" s="31">
        <v>28402</v>
      </c>
    </row>
    <row r="7" spans="1:6" x14ac:dyDescent="0.3">
      <c r="A7" s="35" t="s">
        <v>81</v>
      </c>
      <c r="B7" s="32">
        <v>0</v>
      </c>
      <c r="C7" s="32">
        <v>0</v>
      </c>
      <c r="D7" s="32">
        <v>0</v>
      </c>
      <c r="E7" s="32">
        <v>150</v>
      </c>
      <c r="F7" s="32">
        <v>150</v>
      </c>
    </row>
    <row r="8" spans="1:6" x14ac:dyDescent="0.3">
      <c r="A8" s="35" t="s">
        <v>82</v>
      </c>
      <c r="B8" s="32">
        <v>0</v>
      </c>
      <c r="C8" s="32">
        <v>0</v>
      </c>
      <c r="D8" s="32">
        <v>0</v>
      </c>
      <c r="E8" s="32">
        <v>0</v>
      </c>
      <c r="F8" s="32">
        <v>670</v>
      </c>
    </row>
    <row r="9" spans="1:6" x14ac:dyDescent="0.3">
      <c r="A9" s="35" t="s">
        <v>86</v>
      </c>
      <c r="B9" s="32">
        <v>0</v>
      </c>
      <c r="C9" s="32">
        <v>1</v>
      </c>
      <c r="D9" s="32">
        <v>854</v>
      </c>
      <c r="E9" s="31">
        <v>1500</v>
      </c>
      <c r="F9" s="31">
        <v>13993</v>
      </c>
    </row>
    <row r="10" spans="1:6" hidden="1" x14ac:dyDescent="0.3">
      <c r="A10" s="35" t="s">
        <v>85</v>
      </c>
      <c r="B10" s="32">
        <v>0</v>
      </c>
      <c r="C10" s="32">
        <v>0</v>
      </c>
      <c r="D10" s="32"/>
      <c r="E10" s="32"/>
      <c r="F10" s="32"/>
    </row>
    <row r="11" spans="1:6" x14ac:dyDescent="0.3">
      <c r="A11" s="35" t="s">
        <v>84</v>
      </c>
      <c r="B11" s="32">
        <v>0</v>
      </c>
      <c r="C11" s="32">
        <v>0</v>
      </c>
      <c r="D11" s="32">
        <v>0</v>
      </c>
      <c r="E11" s="32">
        <v>0</v>
      </c>
      <c r="F11" s="31">
        <v>1788</v>
      </c>
    </row>
    <row r="12" spans="1:6" s="23" customFormat="1" x14ac:dyDescent="0.3">
      <c r="A12" s="36" t="s">
        <v>89</v>
      </c>
      <c r="B12" s="23">
        <f>SUM(B2:B11)</f>
        <v>20754</v>
      </c>
      <c r="C12" s="23">
        <f t="shared" ref="C12:F12" si="0">SUM(C2:C11)</f>
        <v>22074</v>
      </c>
      <c r="D12" s="23">
        <f t="shared" si="0"/>
        <v>39098</v>
      </c>
      <c r="E12" s="23">
        <f t="shared" si="0"/>
        <v>74331</v>
      </c>
      <c r="F12" s="23">
        <f t="shared" si="0"/>
        <v>113047</v>
      </c>
    </row>
    <row r="13" spans="1:6" x14ac:dyDescent="0.3">
      <c r="A13" s="24"/>
      <c r="B13" s="34">
        <v>2020</v>
      </c>
      <c r="C13" s="34">
        <v>2021</v>
      </c>
      <c r="D13" s="34">
        <v>2022</v>
      </c>
      <c r="E13" s="34">
        <v>2023</v>
      </c>
      <c r="F13" s="34">
        <v>2024</v>
      </c>
    </row>
    <row r="15" spans="1:6" x14ac:dyDescent="0.3">
      <c r="A15" s="35" t="s">
        <v>88</v>
      </c>
      <c r="B15" s="3" t="s">
        <v>73</v>
      </c>
      <c r="C15" s="3">
        <v>1079</v>
      </c>
      <c r="D15" s="25">
        <v>5203</v>
      </c>
      <c r="E15" s="25">
        <v>33000</v>
      </c>
      <c r="F15" s="25">
        <v>33000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E79C-21C5-465A-BF14-2621F1C673BC}">
  <dimension ref="A1:P13"/>
  <sheetViews>
    <sheetView zoomScaleNormal="100" workbookViewId="0">
      <selection activeCell="C16" sqref="C16"/>
    </sheetView>
  </sheetViews>
  <sheetFormatPr defaultRowHeight="14.4" x14ac:dyDescent="0.3"/>
  <cols>
    <col min="1" max="1" width="4.6640625" style="21" bestFit="1" customWidth="1"/>
    <col min="2" max="2" width="8.44140625" style="21" bestFit="1" customWidth="1"/>
    <col min="3" max="3" width="15.21875" style="21" customWidth="1"/>
    <col min="4" max="4" width="16.88671875" style="21" customWidth="1"/>
    <col min="5" max="5" width="9" style="22" customWidth="1"/>
    <col min="6" max="8" width="8.77734375" style="22" bestFit="1" customWidth="1"/>
    <col min="9" max="9" width="9.77734375" style="22" customWidth="1"/>
    <col min="10" max="10" width="8.77734375" style="22" bestFit="1" customWidth="1"/>
    <col min="14" max="14" width="8.77734375" bestFit="1" customWidth="1"/>
  </cols>
  <sheetData>
    <row r="1" spans="1:16" ht="28.2" thickBot="1" x14ac:dyDescent="0.35">
      <c r="A1" s="6" t="s">
        <v>33</v>
      </c>
      <c r="B1" s="17" t="s">
        <v>0</v>
      </c>
      <c r="C1" s="17" t="s">
        <v>1</v>
      </c>
      <c r="D1" s="17" t="s">
        <v>2</v>
      </c>
      <c r="E1" s="18" t="s">
        <v>69</v>
      </c>
      <c r="F1" s="18" t="s">
        <v>47</v>
      </c>
      <c r="G1" s="18" t="s">
        <v>48</v>
      </c>
      <c r="H1" s="18" t="s">
        <v>68</v>
      </c>
      <c r="I1" s="18" t="s">
        <v>66</v>
      </c>
      <c r="J1" s="18" t="s">
        <v>70</v>
      </c>
      <c r="K1" s="18" t="s">
        <v>90</v>
      </c>
      <c r="L1" s="18" t="s">
        <v>91</v>
      </c>
      <c r="M1" s="18" t="s">
        <v>92</v>
      </c>
      <c r="N1" s="18" t="s">
        <v>93</v>
      </c>
      <c r="O1" s="18" t="s">
        <v>94</v>
      </c>
      <c r="P1" s="18" t="s">
        <v>95</v>
      </c>
    </row>
    <row r="2" spans="1:16" ht="15" thickBot="1" x14ac:dyDescent="0.35">
      <c r="A2" s="8">
        <v>1</v>
      </c>
      <c r="B2" s="4" t="s">
        <v>3</v>
      </c>
      <c r="C2" s="5" t="s">
        <v>4</v>
      </c>
      <c r="D2" s="5" t="s">
        <v>5</v>
      </c>
      <c r="E2" s="19">
        <v>26500</v>
      </c>
      <c r="F2" s="19">
        <v>32000</v>
      </c>
      <c r="G2" s="19">
        <v>27495</v>
      </c>
      <c r="H2" s="19">
        <v>32000</v>
      </c>
      <c r="I2" s="19">
        <v>27495</v>
      </c>
      <c r="J2" s="19">
        <v>30695</v>
      </c>
      <c r="K2" s="2">
        <v>31995</v>
      </c>
      <c r="L2" s="2">
        <v>36165</v>
      </c>
      <c r="M2" s="2">
        <v>36500</v>
      </c>
      <c r="N2" s="2">
        <v>41700</v>
      </c>
      <c r="O2" s="2">
        <v>36620</v>
      </c>
      <c r="P2" s="2">
        <v>43735</v>
      </c>
    </row>
    <row r="3" spans="1:16" ht="15" thickBot="1" x14ac:dyDescent="0.35">
      <c r="A3" s="8">
        <v>2</v>
      </c>
      <c r="B3" s="4" t="s">
        <v>3</v>
      </c>
      <c r="C3" s="5" t="s">
        <v>6</v>
      </c>
      <c r="D3" s="5" t="s">
        <v>7</v>
      </c>
      <c r="E3" s="19">
        <v>27800</v>
      </c>
      <c r="F3" s="19">
        <v>34000</v>
      </c>
      <c r="G3" s="19">
        <v>28800</v>
      </c>
      <c r="H3" s="19">
        <v>34000</v>
      </c>
      <c r="I3" s="19">
        <v>28800</v>
      </c>
      <c r="J3" s="19">
        <v>34000</v>
      </c>
      <c r="K3" s="2">
        <v>34495</v>
      </c>
      <c r="L3" s="2">
        <v>43995</v>
      </c>
      <c r="M3" s="20" t="s">
        <v>46</v>
      </c>
      <c r="N3" s="20" t="s">
        <v>46</v>
      </c>
      <c r="O3" s="20" t="s">
        <v>46</v>
      </c>
      <c r="P3" s="20" t="s">
        <v>46</v>
      </c>
    </row>
    <row r="4" spans="1:16" x14ac:dyDescent="0.3">
      <c r="A4" s="8">
        <v>3</v>
      </c>
      <c r="B4" s="4" t="s">
        <v>3</v>
      </c>
      <c r="C4" s="5" t="s">
        <v>8</v>
      </c>
      <c r="D4" s="5" t="s">
        <v>7</v>
      </c>
      <c r="E4" s="19">
        <v>30000</v>
      </c>
      <c r="F4" s="19">
        <v>48000</v>
      </c>
      <c r="G4" s="19">
        <v>30000</v>
      </c>
      <c r="H4" s="19">
        <v>48000</v>
      </c>
      <c r="I4" s="20" t="s">
        <v>46</v>
      </c>
      <c r="J4" s="20" t="s">
        <v>46</v>
      </c>
      <c r="K4" s="20" t="s">
        <v>46</v>
      </c>
      <c r="L4" s="20" t="s">
        <v>46</v>
      </c>
      <c r="M4" s="20" t="s">
        <v>46</v>
      </c>
      <c r="N4" s="20" t="s">
        <v>46</v>
      </c>
      <c r="O4" s="20" t="s">
        <v>46</v>
      </c>
      <c r="P4" s="20" t="s">
        <v>46</v>
      </c>
    </row>
    <row r="5" spans="1:16" x14ac:dyDescent="0.3">
      <c r="A5" s="8">
        <v>4</v>
      </c>
      <c r="B5" s="4" t="s">
        <v>3</v>
      </c>
      <c r="C5" s="5" t="s">
        <v>10</v>
      </c>
      <c r="D5" s="5" t="s">
        <v>11</v>
      </c>
      <c r="E5" s="19">
        <v>44995</v>
      </c>
      <c r="F5" s="19">
        <v>66000</v>
      </c>
      <c r="G5" s="19">
        <v>44995</v>
      </c>
      <c r="H5" s="19">
        <v>66000</v>
      </c>
      <c r="I5" s="20" t="s">
        <v>46</v>
      </c>
      <c r="J5" s="20" t="s">
        <v>46</v>
      </c>
      <c r="K5" s="20" t="s">
        <v>46</v>
      </c>
      <c r="L5" s="20" t="s">
        <v>46</v>
      </c>
      <c r="M5" s="20" t="s">
        <v>46</v>
      </c>
      <c r="N5" s="20" t="s">
        <v>46</v>
      </c>
      <c r="O5" s="20" t="s">
        <v>46</v>
      </c>
      <c r="P5" s="20" t="s">
        <v>46</v>
      </c>
    </row>
    <row r="6" spans="1:16" ht="28.2" thickBot="1" x14ac:dyDescent="0.35">
      <c r="A6" s="8">
        <v>5</v>
      </c>
      <c r="B6" s="4" t="s">
        <v>3</v>
      </c>
      <c r="C6" s="5" t="s">
        <v>12</v>
      </c>
      <c r="D6" s="5" t="s">
        <v>13</v>
      </c>
      <c r="E6" s="19">
        <v>39995</v>
      </c>
      <c r="F6" s="19">
        <v>80000</v>
      </c>
      <c r="G6" s="19">
        <v>39995</v>
      </c>
      <c r="H6" s="19">
        <v>80000</v>
      </c>
      <c r="I6" s="20" t="s">
        <v>46</v>
      </c>
      <c r="J6" s="20" t="s">
        <v>46</v>
      </c>
      <c r="K6" s="20" t="s">
        <v>46</v>
      </c>
      <c r="L6" s="20" t="s">
        <v>46</v>
      </c>
      <c r="M6" s="20" t="s">
        <v>46</v>
      </c>
      <c r="N6" s="20" t="s">
        <v>46</v>
      </c>
      <c r="O6" s="20" t="s">
        <v>46</v>
      </c>
      <c r="P6" s="20" t="s">
        <v>46</v>
      </c>
    </row>
    <row r="7" spans="1:16" ht="15" thickBot="1" x14ac:dyDescent="0.35">
      <c r="A7" s="8">
        <v>6</v>
      </c>
      <c r="B7" s="4" t="s">
        <v>14</v>
      </c>
      <c r="C7" s="5" t="s">
        <v>15</v>
      </c>
      <c r="D7" s="5" t="s">
        <v>16</v>
      </c>
      <c r="E7" s="19">
        <v>58590</v>
      </c>
      <c r="F7" s="19">
        <v>68890</v>
      </c>
      <c r="G7" s="19">
        <v>57195</v>
      </c>
      <c r="H7" s="19">
        <v>73315</v>
      </c>
      <c r="I7" s="19">
        <v>61795</v>
      </c>
      <c r="J7" s="19">
        <v>73315</v>
      </c>
      <c r="K7" s="2">
        <v>62990</v>
      </c>
      <c r="L7" s="2">
        <v>73315</v>
      </c>
      <c r="M7" s="20" t="s">
        <v>46</v>
      </c>
      <c r="N7" s="20" t="s">
        <v>46</v>
      </c>
      <c r="O7" s="20" t="s">
        <v>46</v>
      </c>
      <c r="P7" s="20" t="s">
        <v>46</v>
      </c>
    </row>
    <row r="8" spans="1:16" x14ac:dyDescent="0.3">
      <c r="A8" s="8">
        <v>7</v>
      </c>
      <c r="B8" s="4" t="s">
        <v>14</v>
      </c>
      <c r="C8" s="5" t="s">
        <v>17</v>
      </c>
      <c r="D8" s="5" t="s">
        <v>18</v>
      </c>
      <c r="E8" s="19">
        <v>340000</v>
      </c>
      <c r="F8" s="19">
        <v>400000</v>
      </c>
      <c r="G8" s="19">
        <v>340000</v>
      </c>
      <c r="H8" s="19">
        <v>400000</v>
      </c>
      <c r="I8" s="20" t="s">
        <v>46</v>
      </c>
      <c r="J8" s="20" t="s">
        <v>46</v>
      </c>
      <c r="K8" s="20" t="s">
        <v>46</v>
      </c>
      <c r="L8" s="20" t="s">
        <v>46</v>
      </c>
      <c r="M8" s="20" t="s">
        <v>46</v>
      </c>
      <c r="N8" s="20" t="s">
        <v>46</v>
      </c>
      <c r="O8" s="20" t="s">
        <v>46</v>
      </c>
      <c r="P8" s="20" t="s">
        <v>46</v>
      </c>
    </row>
    <row r="9" spans="1:16" ht="28.2" thickBot="1" x14ac:dyDescent="0.35">
      <c r="A9" s="8">
        <v>8</v>
      </c>
      <c r="B9" s="4" t="s">
        <v>14</v>
      </c>
      <c r="C9" s="5" t="s">
        <v>20</v>
      </c>
      <c r="D9" s="5" t="s">
        <v>21</v>
      </c>
      <c r="E9" s="19">
        <v>130000</v>
      </c>
      <c r="F9" s="19">
        <v>150000</v>
      </c>
      <c r="G9" s="19">
        <v>130000</v>
      </c>
      <c r="H9" s="19">
        <v>150000</v>
      </c>
      <c r="I9" s="20" t="s">
        <v>46</v>
      </c>
      <c r="J9" s="20" t="s">
        <v>46</v>
      </c>
      <c r="K9" s="20" t="s">
        <v>46</v>
      </c>
      <c r="L9" s="20" t="s">
        <v>46</v>
      </c>
      <c r="M9" s="20" t="s">
        <v>46</v>
      </c>
      <c r="N9" s="20" t="s">
        <v>46</v>
      </c>
      <c r="O9" s="20" t="s">
        <v>46</v>
      </c>
      <c r="P9" s="20" t="s">
        <v>46</v>
      </c>
    </row>
    <row r="10" spans="1:16" ht="28.2" thickBot="1" x14ac:dyDescent="0.35">
      <c r="A10" s="8">
        <v>9</v>
      </c>
      <c r="B10" s="4" t="s">
        <v>23</v>
      </c>
      <c r="C10" s="5" t="s">
        <v>24</v>
      </c>
      <c r="D10" s="5" t="s">
        <v>13</v>
      </c>
      <c r="E10" s="19">
        <v>86645</v>
      </c>
      <c r="F10" s="19">
        <v>110000</v>
      </c>
      <c r="G10" s="19">
        <v>96550</v>
      </c>
      <c r="H10" s="19">
        <v>132895</v>
      </c>
      <c r="I10" s="19">
        <v>96550</v>
      </c>
      <c r="J10" s="19">
        <v>129415</v>
      </c>
      <c r="K10" s="2">
        <v>86645</v>
      </c>
      <c r="L10" s="2">
        <v>110295</v>
      </c>
      <c r="M10" s="2">
        <v>110295</v>
      </c>
      <c r="N10" s="2">
        <v>118039</v>
      </c>
      <c r="O10" s="20" t="s">
        <v>46</v>
      </c>
      <c r="P10" s="20" t="s">
        <v>46</v>
      </c>
    </row>
    <row r="11" spans="1:16" ht="15" thickBot="1" x14ac:dyDescent="0.35">
      <c r="A11" s="8">
        <v>10</v>
      </c>
      <c r="B11" s="4" t="s">
        <v>23</v>
      </c>
      <c r="C11" s="5" t="s">
        <v>25</v>
      </c>
      <c r="D11" s="5" t="s">
        <v>26</v>
      </c>
      <c r="E11" s="19">
        <v>98995</v>
      </c>
      <c r="F11" s="19">
        <v>115000</v>
      </c>
      <c r="G11" s="19">
        <v>98995</v>
      </c>
      <c r="H11" s="19">
        <v>129415</v>
      </c>
      <c r="I11" s="19">
        <v>98995</v>
      </c>
      <c r="J11" s="19">
        <v>115000</v>
      </c>
      <c r="K11" s="2">
        <v>98995</v>
      </c>
      <c r="L11" s="2">
        <v>129415</v>
      </c>
      <c r="M11" s="20" t="s">
        <v>46</v>
      </c>
      <c r="N11" s="20" t="s">
        <v>46</v>
      </c>
      <c r="O11" s="20" t="s">
        <v>46</v>
      </c>
      <c r="P11" s="20" t="s">
        <v>46</v>
      </c>
    </row>
    <row r="12" spans="1:16" ht="28.2" thickBot="1" x14ac:dyDescent="0.35">
      <c r="A12" s="8">
        <v>11</v>
      </c>
      <c r="B12" s="4" t="s">
        <v>23</v>
      </c>
      <c r="C12" s="5" t="s">
        <v>27</v>
      </c>
      <c r="D12" s="5" t="s">
        <v>13</v>
      </c>
      <c r="E12" s="19">
        <v>50000</v>
      </c>
      <c r="F12" s="19">
        <v>80000</v>
      </c>
      <c r="G12" s="19">
        <v>50000</v>
      </c>
      <c r="H12" s="19">
        <v>80000</v>
      </c>
      <c r="I12" s="20" t="s">
        <v>46</v>
      </c>
      <c r="J12" s="20" t="s">
        <v>46</v>
      </c>
      <c r="K12" s="20" t="s">
        <v>46</v>
      </c>
      <c r="L12" s="20" t="s">
        <v>46</v>
      </c>
      <c r="M12" s="20" t="s">
        <v>46</v>
      </c>
      <c r="N12" s="20" t="s">
        <v>46</v>
      </c>
      <c r="O12" s="20" t="s">
        <v>46</v>
      </c>
      <c r="P12" s="20" t="s">
        <v>46</v>
      </c>
    </row>
    <row r="13" spans="1:16" ht="28.2" thickBot="1" x14ac:dyDescent="0.35">
      <c r="A13" s="8">
        <v>12</v>
      </c>
      <c r="B13" s="4" t="s">
        <v>29</v>
      </c>
      <c r="C13" s="5" t="s">
        <v>30</v>
      </c>
      <c r="D13" s="5" t="s">
        <v>31</v>
      </c>
      <c r="E13" s="19">
        <v>23000</v>
      </c>
      <c r="F13" s="20" t="s">
        <v>46</v>
      </c>
      <c r="G13" s="19">
        <v>23000</v>
      </c>
      <c r="H13" s="20" t="s">
        <v>46</v>
      </c>
      <c r="I13" s="20" t="s">
        <v>46</v>
      </c>
      <c r="J13" s="20" t="s">
        <v>46</v>
      </c>
      <c r="K13" s="20" t="s">
        <v>46</v>
      </c>
      <c r="L13" s="20" t="s">
        <v>46</v>
      </c>
      <c r="M13" s="20" t="s">
        <v>46</v>
      </c>
      <c r="N13" s="20" t="s">
        <v>46</v>
      </c>
      <c r="O13" s="2">
        <v>24270</v>
      </c>
      <c r="P13" s="2">
        <v>26970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5E2C-1F46-4C3B-9568-0F7B7A49F9D5}">
  <dimension ref="A1:J19"/>
  <sheetViews>
    <sheetView workbookViewId="0">
      <selection activeCell="I15" sqref="I15"/>
    </sheetView>
  </sheetViews>
  <sheetFormatPr defaultRowHeight="14.4" x14ac:dyDescent="0.3"/>
  <cols>
    <col min="1" max="1" width="4.88671875" bestFit="1" customWidth="1"/>
    <col min="3" max="3" width="8.5546875" bestFit="1" customWidth="1"/>
    <col min="4" max="4" width="15.44140625" hidden="1" customWidth="1"/>
    <col min="5" max="5" width="15.44140625" customWidth="1"/>
  </cols>
  <sheetData>
    <row r="1" spans="1:10" x14ac:dyDescent="0.3">
      <c r="A1" s="9" t="s">
        <v>33</v>
      </c>
      <c r="B1" s="7" t="s">
        <v>0</v>
      </c>
      <c r="C1" s="7" t="s">
        <v>1</v>
      </c>
      <c r="D1" s="7" t="s">
        <v>2</v>
      </c>
      <c r="E1" s="7" t="s">
        <v>0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</row>
    <row r="2" spans="1:10" x14ac:dyDescent="0.3">
      <c r="A2" s="10">
        <v>1</v>
      </c>
      <c r="B2" s="11" t="s">
        <v>3</v>
      </c>
      <c r="C2" s="12" t="s">
        <v>4</v>
      </c>
      <c r="D2" s="12" t="s">
        <v>5</v>
      </c>
      <c r="E2" s="12" t="s">
        <v>75</v>
      </c>
      <c r="F2" s="42">
        <v>20754</v>
      </c>
      <c r="G2" s="41">
        <v>22073</v>
      </c>
      <c r="H2" s="41">
        <v>38122</v>
      </c>
      <c r="I2" s="41">
        <v>62045</v>
      </c>
      <c r="J2" s="41">
        <v>8627</v>
      </c>
    </row>
    <row r="3" spans="1:10" ht="27.6" x14ac:dyDescent="0.3">
      <c r="A3" s="10">
        <v>2</v>
      </c>
      <c r="B3" s="11" t="s">
        <v>3</v>
      </c>
      <c r="C3" s="12" t="s">
        <v>6</v>
      </c>
      <c r="D3" s="12" t="s">
        <v>7</v>
      </c>
      <c r="E3" s="12" t="s">
        <v>76</v>
      </c>
      <c r="F3" s="42"/>
      <c r="G3" s="41"/>
      <c r="H3" s="41"/>
      <c r="I3" s="41"/>
      <c r="J3" s="41"/>
    </row>
    <row r="4" spans="1:10" ht="27.6" x14ac:dyDescent="0.3">
      <c r="A4" s="10">
        <v>3</v>
      </c>
      <c r="B4" s="11" t="s">
        <v>3</v>
      </c>
      <c r="C4" s="12" t="s">
        <v>8</v>
      </c>
      <c r="D4" s="12" t="s">
        <v>7</v>
      </c>
      <c r="E4" s="12" t="s">
        <v>77</v>
      </c>
      <c r="F4" s="10" t="s">
        <v>46</v>
      </c>
      <c r="G4" s="10" t="s">
        <v>46</v>
      </c>
      <c r="H4" s="10" t="s">
        <v>46</v>
      </c>
      <c r="I4" s="10" t="s">
        <v>46</v>
      </c>
      <c r="J4" s="27">
        <v>28874</v>
      </c>
    </row>
    <row r="5" spans="1:10" ht="27.6" x14ac:dyDescent="0.3">
      <c r="A5" s="10">
        <v>4</v>
      </c>
      <c r="B5" s="11" t="s">
        <v>3</v>
      </c>
      <c r="C5" s="12" t="s">
        <v>10</v>
      </c>
      <c r="D5" s="12" t="s">
        <v>11</v>
      </c>
      <c r="E5" s="12" t="s">
        <v>78</v>
      </c>
      <c r="F5" s="10" t="s">
        <v>46</v>
      </c>
      <c r="G5" s="10" t="s">
        <v>46</v>
      </c>
      <c r="H5" s="10" t="s">
        <v>46</v>
      </c>
      <c r="I5" s="10">
        <v>482</v>
      </c>
      <c r="J5" s="27">
        <v>23115</v>
      </c>
    </row>
    <row r="6" spans="1:10" ht="27.6" x14ac:dyDescent="0.3">
      <c r="A6" s="10">
        <v>5</v>
      </c>
      <c r="B6" s="11" t="s">
        <v>3</v>
      </c>
      <c r="C6" s="12" t="s">
        <v>12</v>
      </c>
      <c r="D6" s="12" t="s">
        <v>13</v>
      </c>
      <c r="E6" s="12" t="s">
        <v>79</v>
      </c>
      <c r="F6" s="10" t="s">
        <v>46</v>
      </c>
      <c r="G6" s="10" t="s">
        <v>46</v>
      </c>
      <c r="H6" s="10" t="s">
        <v>46</v>
      </c>
      <c r="I6" s="26">
        <v>1000</v>
      </c>
      <c r="J6" s="27">
        <v>7428</v>
      </c>
    </row>
    <row r="7" spans="1:10" x14ac:dyDescent="0.3">
      <c r="A7" s="10">
        <v>6</v>
      </c>
      <c r="B7" s="11" t="s">
        <v>14</v>
      </c>
      <c r="C7" s="12" t="s">
        <v>15</v>
      </c>
      <c r="D7" s="12" t="s">
        <v>16</v>
      </c>
      <c r="E7" s="12" t="s">
        <v>80</v>
      </c>
      <c r="F7" s="10" t="s">
        <v>46</v>
      </c>
      <c r="G7" s="10" t="s">
        <v>46</v>
      </c>
      <c r="H7" s="10">
        <v>122</v>
      </c>
      <c r="I7" s="10">
        <v>9154</v>
      </c>
      <c r="J7" s="27">
        <v>28402</v>
      </c>
    </row>
    <row r="8" spans="1:10" ht="27.6" x14ac:dyDescent="0.3">
      <c r="A8" s="10">
        <v>7</v>
      </c>
      <c r="B8" s="11" t="s">
        <v>14</v>
      </c>
      <c r="C8" s="12" t="s">
        <v>17</v>
      </c>
      <c r="D8" s="12" t="s">
        <v>18</v>
      </c>
      <c r="E8" s="12" t="s">
        <v>81</v>
      </c>
      <c r="F8" s="10" t="s">
        <v>46</v>
      </c>
      <c r="G8" s="10" t="s">
        <v>46</v>
      </c>
      <c r="H8" s="10" t="s">
        <v>46</v>
      </c>
      <c r="I8" s="10" t="s">
        <v>72</v>
      </c>
      <c r="J8" s="10">
        <v>150</v>
      </c>
    </row>
    <row r="9" spans="1:10" ht="27.6" x14ac:dyDescent="0.3">
      <c r="A9" s="10">
        <v>8</v>
      </c>
      <c r="B9" s="11" t="s">
        <v>14</v>
      </c>
      <c r="C9" s="12" t="s">
        <v>20</v>
      </c>
      <c r="D9" s="12" t="s">
        <v>21</v>
      </c>
      <c r="E9" s="12" t="s">
        <v>82</v>
      </c>
      <c r="F9" s="10" t="s">
        <v>46</v>
      </c>
      <c r="G9" s="10" t="s">
        <v>46</v>
      </c>
      <c r="H9" s="10" t="s">
        <v>46</v>
      </c>
      <c r="I9" s="10" t="s">
        <v>46</v>
      </c>
      <c r="J9" s="28">
        <v>670</v>
      </c>
    </row>
    <row r="10" spans="1:10" ht="27.6" x14ac:dyDescent="0.3">
      <c r="A10" s="10">
        <v>9</v>
      </c>
      <c r="B10" s="11" t="s">
        <v>23</v>
      </c>
      <c r="C10" s="12" t="s">
        <v>24</v>
      </c>
      <c r="D10" s="12" t="s">
        <v>13</v>
      </c>
      <c r="E10" s="12" t="s">
        <v>86</v>
      </c>
      <c r="F10" s="10" t="s">
        <v>46</v>
      </c>
      <c r="G10" s="10">
        <v>1</v>
      </c>
      <c r="H10" s="42">
        <v>854</v>
      </c>
      <c r="I10" s="41">
        <v>1500</v>
      </c>
      <c r="J10" s="41">
        <v>13993</v>
      </c>
    </row>
    <row r="11" spans="1:10" ht="27.6" x14ac:dyDescent="0.3">
      <c r="A11" s="10">
        <v>10</v>
      </c>
      <c r="B11" s="11" t="s">
        <v>23</v>
      </c>
      <c r="C11" s="12" t="s">
        <v>25</v>
      </c>
      <c r="D11" s="12" t="s">
        <v>26</v>
      </c>
      <c r="E11" s="12" t="s">
        <v>85</v>
      </c>
      <c r="F11" s="10" t="s">
        <v>46</v>
      </c>
      <c r="G11" s="10" t="s">
        <v>46</v>
      </c>
      <c r="H11" s="42"/>
      <c r="I11" s="41"/>
      <c r="J11" s="41"/>
    </row>
    <row r="12" spans="1:10" ht="27.6" x14ac:dyDescent="0.3">
      <c r="A12" s="10">
        <v>11</v>
      </c>
      <c r="B12" s="11" t="s">
        <v>23</v>
      </c>
      <c r="C12" s="12" t="s">
        <v>27</v>
      </c>
      <c r="D12" s="12" t="s">
        <v>13</v>
      </c>
      <c r="E12" s="12" t="s">
        <v>84</v>
      </c>
      <c r="F12" s="10" t="s">
        <v>46</v>
      </c>
      <c r="G12" s="10" t="s">
        <v>46</v>
      </c>
      <c r="H12" s="10" t="s">
        <v>46</v>
      </c>
      <c r="I12" s="10" t="s">
        <v>46</v>
      </c>
      <c r="J12" s="26">
        <v>1788</v>
      </c>
    </row>
    <row r="13" spans="1:10" ht="27.6" x14ac:dyDescent="0.3">
      <c r="A13" s="10">
        <v>12</v>
      </c>
      <c r="B13" s="11" t="s">
        <v>29</v>
      </c>
      <c r="C13" s="12" t="s">
        <v>30</v>
      </c>
      <c r="D13" s="12" t="s">
        <v>31</v>
      </c>
      <c r="E13" s="12" t="s">
        <v>83</v>
      </c>
      <c r="F13" s="10" t="s">
        <v>46</v>
      </c>
      <c r="G13" s="10" t="s">
        <v>46</v>
      </c>
      <c r="H13" s="10" t="s">
        <v>46</v>
      </c>
      <c r="I13" s="10" t="s">
        <v>46</v>
      </c>
      <c r="J13" s="10" t="s">
        <v>46</v>
      </c>
    </row>
    <row r="14" spans="1:10" x14ac:dyDescent="0.3">
      <c r="A14" s="3" t="s">
        <v>71</v>
      </c>
      <c r="F14" s="30">
        <f>SUM(F2:F13)</f>
        <v>20754</v>
      </c>
      <c r="G14" s="30">
        <f>SUM(G2:G13)</f>
        <v>22074</v>
      </c>
      <c r="H14" s="30">
        <f>SUM(H2:H13)</f>
        <v>39098</v>
      </c>
      <c r="I14" s="30">
        <f>SUM(I2:I13)</f>
        <v>74181</v>
      </c>
      <c r="J14" s="29">
        <f>SUM(J2:J13)</f>
        <v>113047</v>
      </c>
    </row>
    <row r="19" spans="1:10" x14ac:dyDescent="0.3">
      <c r="A19" s="3">
        <v>1</v>
      </c>
      <c r="B19" s="3" t="s">
        <v>29</v>
      </c>
      <c r="C19" s="3" t="s">
        <v>30</v>
      </c>
      <c r="D19" s="3" t="s">
        <v>74</v>
      </c>
      <c r="E19" s="3"/>
      <c r="F19" s="3" t="s">
        <v>73</v>
      </c>
      <c r="G19" s="3">
        <v>1079</v>
      </c>
      <c r="H19" s="25">
        <v>5203</v>
      </c>
      <c r="I19" s="25">
        <v>33000</v>
      </c>
      <c r="J19" s="25">
        <v>33000</v>
      </c>
    </row>
  </sheetData>
  <mergeCells count="8">
    <mergeCell ref="G2:G3"/>
    <mergeCell ref="F2:F3"/>
    <mergeCell ref="J2:J3"/>
    <mergeCell ref="J10:J11"/>
    <mergeCell ref="I10:I11"/>
    <mergeCell ref="I2:I3"/>
    <mergeCell ref="H10:H11"/>
    <mergeCell ref="H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B9ED-15DB-4CFB-BA23-4935E6B545D9}">
  <dimension ref="B1:G13"/>
  <sheetViews>
    <sheetView zoomScale="70" zoomScaleNormal="70" workbookViewId="0">
      <selection activeCell="G13" sqref="B2:G13"/>
    </sheetView>
  </sheetViews>
  <sheetFormatPr defaultRowHeight="14.4" x14ac:dyDescent="0.3"/>
  <sheetData>
    <row r="1" spans="2:7" x14ac:dyDescent="0.3">
      <c r="B1" s="7" t="s">
        <v>0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</row>
    <row r="2" spans="2:7" ht="27.6" x14ac:dyDescent="0.3">
      <c r="B2" s="12" t="s">
        <v>75</v>
      </c>
      <c r="C2" s="42">
        <v>20754</v>
      </c>
      <c r="D2" s="41">
        <v>22073</v>
      </c>
      <c r="E2" s="41">
        <v>38122</v>
      </c>
      <c r="F2" s="41">
        <v>62045</v>
      </c>
      <c r="G2" s="41">
        <v>8627</v>
      </c>
    </row>
    <row r="3" spans="2:7" ht="27.6" x14ac:dyDescent="0.3">
      <c r="B3" s="12" t="s">
        <v>76</v>
      </c>
      <c r="C3" s="42"/>
      <c r="D3" s="41"/>
      <c r="E3" s="41"/>
      <c r="F3" s="41"/>
      <c r="G3" s="41"/>
    </row>
    <row r="4" spans="2:7" ht="41.4" x14ac:dyDescent="0.3">
      <c r="B4" s="12" t="s">
        <v>77</v>
      </c>
      <c r="C4" s="10">
        <v>0</v>
      </c>
      <c r="D4" s="10">
        <v>0</v>
      </c>
      <c r="E4" s="10">
        <v>0</v>
      </c>
      <c r="F4" s="10">
        <v>0</v>
      </c>
      <c r="G4" s="27">
        <v>28874</v>
      </c>
    </row>
    <row r="5" spans="2:7" ht="27.6" x14ac:dyDescent="0.3">
      <c r="B5" s="12" t="s">
        <v>78</v>
      </c>
      <c r="C5" s="10">
        <v>0</v>
      </c>
      <c r="D5" s="10">
        <v>0</v>
      </c>
      <c r="E5" s="10">
        <v>0</v>
      </c>
      <c r="F5" s="10">
        <v>482</v>
      </c>
      <c r="G5" s="27">
        <v>23115</v>
      </c>
    </row>
    <row r="6" spans="2:7" ht="41.4" x14ac:dyDescent="0.3">
      <c r="B6" s="12" t="s">
        <v>79</v>
      </c>
      <c r="C6" s="10">
        <v>0</v>
      </c>
      <c r="D6" s="10">
        <v>0</v>
      </c>
      <c r="E6" s="10">
        <v>0</v>
      </c>
      <c r="F6" s="26">
        <v>1000</v>
      </c>
      <c r="G6" s="27">
        <v>7428</v>
      </c>
    </row>
    <row r="7" spans="2:7" ht="27.6" x14ac:dyDescent="0.3">
      <c r="B7" s="12" t="s">
        <v>80</v>
      </c>
      <c r="C7" s="10">
        <v>0</v>
      </c>
      <c r="D7" s="10">
        <v>0</v>
      </c>
      <c r="E7" s="10">
        <v>122</v>
      </c>
      <c r="F7" s="10">
        <v>9154</v>
      </c>
      <c r="G7" s="27">
        <v>28402</v>
      </c>
    </row>
    <row r="8" spans="2:7" ht="27.6" x14ac:dyDescent="0.3">
      <c r="B8" s="12" t="s">
        <v>81</v>
      </c>
      <c r="C8" s="10">
        <v>0</v>
      </c>
      <c r="D8" s="10">
        <v>0</v>
      </c>
      <c r="E8" s="10">
        <v>0</v>
      </c>
      <c r="F8" s="10" t="s">
        <v>72</v>
      </c>
      <c r="G8" s="10">
        <v>150</v>
      </c>
    </row>
    <row r="9" spans="2:7" ht="41.4" x14ac:dyDescent="0.3">
      <c r="B9" s="12" t="s">
        <v>82</v>
      </c>
      <c r="C9" s="10">
        <v>0</v>
      </c>
      <c r="D9" s="10">
        <v>0</v>
      </c>
      <c r="E9" s="10">
        <v>0</v>
      </c>
      <c r="F9" s="10">
        <v>0</v>
      </c>
      <c r="G9" s="28">
        <v>670</v>
      </c>
    </row>
    <row r="10" spans="2:7" ht="41.4" x14ac:dyDescent="0.3">
      <c r="B10" s="12" t="s">
        <v>86</v>
      </c>
      <c r="C10" s="10">
        <v>0</v>
      </c>
      <c r="D10" s="10">
        <v>1</v>
      </c>
      <c r="E10" s="42">
        <v>854</v>
      </c>
      <c r="F10" s="41">
        <v>1500</v>
      </c>
      <c r="G10" s="41">
        <v>13993</v>
      </c>
    </row>
    <row r="11" spans="2:7" ht="41.4" x14ac:dyDescent="0.3">
      <c r="B11" s="12" t="s">
        <v>85</v>
      </c>
      <c r="C11" s="10">
        <v>0</v>
      </c>
      <c r="D11" s="10">
        <v>0</v>
      </c>
      <c r="E11" s="42"/>
      <c r="F11" s="41"/>
      <c r="G11" s="41"/>
    </row>
    <row r="12" spans="2:7" ht="27.6" x14ac:dyDescent="0.3">
      <c r="B12" s="12" t="s">
        <v>84</v>
      </c>
      <c r="C12" s="10">
        <v>0</v>
      </c>
      <c r="D12" s="10">
        <v>0</v>
      </c>
      <c r="E12" s="10">
        <v>0</v>
      </c>
      <c r="F12" s="10">
        <v>0</v>
      </c>
      <c r="G12" s="26">
        <v>1788</v>
      </c>
    </row>
    <row r="13" spans="2:7" ht="27.6" x14ac:dyDescent="0.3">
      <c r="B13" s="12" t="s">
        <v>83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</row>
  </sheetData>
  <mergeCells count="8">
    <mergeCell ref="C2:C3"/>
    <mergeCell ref="G2:G3"/>
    <mergeCell ref="F10:F11"/>
    <mergeCell ref="G10:G11"/>
    <mergeCell ref="D2:D3"/>
    <mergeCell ref="E2:E3"/>
    <mergeCell ref="F2:F3"/>
    <mergeCell ref="E10:E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A316-8C8F-4032-865E-1EFB875AFE0E}">
  <dimension ref="A1:J13"/>
  <sheetViews>
    <sheetView workbookViewId="0">
      <selection activeCell="C32" sqref="C32:G33"/>
    </sheetView>
  </sheetViews>
  <sheetFormatPr defaultColWidth="10.88671875" defaultRowHeight="14.4" x14ac:dyDescent="0.3"/>
  <cols>
    <col min="1" max="1" width="4.33203125" customWidth="1"/>
    <col min="4" max="4" width="16.77734375" customWidth="1"/>
    <col min="6" max="6" width="10.77734375" bestFit="1" customWidth="1"/>
  </cols>
  <sheetData>
    <row r="1" spans="1:10" ht="28.2" thickBot="1" x14ac:dyDescent="0.35">
      <c r="A1" s="9" t="s">
        <v>33</v>
      </c>
      <c r="B1" s="7" t="s">
        <v>0</v>
      </c>
      <c r="C1" s="7" t="s">
        <v>1</v>
      </c>
      <c r="D1" s="7" t="s">
        <v>2</v>
      </c>
      <c r="E1" s="7" t="s">
        <v>69</v>
      </c>
      <c r="F1" s="7" t="s">
        <v>47</v>
      </c>
      <c r="G1" s="15" t="s">
        <v>48</v>
      </c>
      <c r="H1" s="15" t="s">
        <v>68</v>
      </c>
      <c r="I1" s="15" t="s">
        <v>66</v>
      </c>
      <c r="J1" s="15" t="s">
        <v>67</v>
      </c>
    </row>
    <row r="2" spans="1:10" ht="28.2" thickBot="1" x14ac:dyDescent="0.35">
      <c r="A2" s="10">
        <v>1</v>
      </c>
      <c r="B2" s="11" t="s">
        <v>3</v>
      </c>
      <c r="C2" s="12" t="s">
        <v>4</v>
      </c>
      <c r="D2" s="12" t="s">
        <v>5</v>
      </c>
      <c r="E2" s="13">
        <v>26500</v>
      </c>
      <c r="F2" s="1" t="s">
        <v>34</v>
      </c>
      <c r="G2" s="2">
        <v>27495116</v>
      </c>
      <c r="H2" s="14" t="s">
        <v>49</v>
      </c>
      <c r="I2" s="2">
        <v>27495</v>
      </c>
      <c r="J2" s="1" t="s">
        <v>62</v>
      </c>
    </row>
    <row r="3" spans="1:10" ht="42" thickBot="1" x14ac:dyDescent="0.35">
      <c r="A3" s="10">
        <v>2</v>
      </c>
      <c r="B3" s="11" t="s">
        <v>3</v>
      </c>
      <c r="C3" s="12" t="s">
        <v>6</v>
      </c>
      <c r="D3" s="12" t="s">
        <v>7</v>
      </c>
      <c r="E3" s="13">
        <v>27800</v>
      </c>
      <c r="F3" s="1" t="s">
        <v>35</v>
      </c>
      <c r="G3" s="1" t="s">
        <v>50</v>
      </c>
      <c r="H3" s="14" t="s">
        <v>51</v>
      </c>
      <c r="I3" s="1" t="s">
        <v>50</v>
      </c>
      <c r="J3" s="1" t="s">
        <v>63</v>
      </c>
    </row>
    <row r="4" spans="1:10" ht="42" thickBot="1" x14ac:dyDescent="0.35">
      <c r="A4" s="10">
        <v>3</v>
      </c>
      <c r="B4" s="11" t="s">
        <v>3</v>
      </c>
      <c r="C4" s="12" t="s">
        <v>8</v>
      </c>
      <c r="D4" s="12" t="s">
        <v>7</v>
      </c>
      <c r="E4" s="12" t="s">
        <v>9</v>
      </c>
      <c r="F4" s="1" t="s">
        <v>37</v>
      </c>
      <c r="G4" s="1" t="s">
        <v>36</v>
      </c>
      <c r="H4" s="1" t="s">
        <v>52</v>
      </c>
      <c r="I4" s="1" t="s">
        <v>46</v>
      </c>
      <c r="J4" s="1" t="s">
        <v>46</v>
      </c>
    </row>
    <row r="5" spans="1:10" ht="43.8" thickBot="1" x14ac:dyDescent="0.35">
      <c r="A5" s="10">
        <v>4</v>
      </c>
      <c r="B5" s="11" t="s">
        <v>3</v>
      </c>
      <c r="C5" s="12" t="s">
        <v>10</v>
      </c>
      <c r="D5" s="12" t="s">
        <v>11</v>
      </c>
      <c r="E5" s="13">
        <v>44995</v>
      </c>
      <c r="F5" s="14" t="s">
        <v>38</v>
      </c>
      <c r="G5" s="16">
        <v>449957</v>
      </c>
      <c r="H5" s="1" t="s">
        <v>53</v>
      </c>
      <c r="I5" s="1" t="s">
        <v>46</v>
      </c>
      <c r="J5" s="1" t="s">
        <v>46</v>
      </c>
    </row>
    <row r="6" spans="1:10" ht="29.4" thickBot="1" x14ac:dyDescent="0.35">
      <c r="A6" s="10">
        <v>5</v>
      </c>
      <c r="B6" s="11" t="s">
        <v>3</v>
      </c>
      <c r="C6" s="12" t="s">
        <v>12</v>
      </c>
      <c r="D6" s="12" t="s">
        <v>13</v>
      </c>
      <c r="E6" s="13">
        <v>39995</v>
      </c>
      <c r="F6" s="14" t="s">
        <v>39</v>
      </c>
      <c r="G6" s="2">
        <v>39995</v>
      </c>
      <c r="H6" s="1" t="s">
        <v>54</v>
      </c>
      <c r="I6" s="1" t="s">
        <v>46</v>
      </c>
      <c r="J6" s="1" t="s">
        <v>46</v>
      </c>
    </row>
    <row r="7" spans="1:10" ht="55.8" thickBot="1" x14ac:dyDescent="0.35">
      <c r="A7" s="10">
        <v>6</v>
      </c>
      <c r="B7" s="11" t="s">
        <v>14</v>
      </c>
      <c r="C7" s="12" t="s">
        <v>15</v>
      </c>
      <c r="D7" s="12" t="s">
        <v>16</v>
      </c>
      <c r="E7" s="13">
        <v>58590</v>
      </c>
      <c r="F7" s="1" t="s">
        <v>40</v>
      </c>
      <c r="G7" s="1" t="s">
        <v>55</v>
      </c>
      <c r="H7" s="1" t="s">
        <v>56</v>
      </c>
      <c r="I7" s="2">
        <v>61795</v>
      </c>
      <c r="J7" s="1" t="s">
        <v>65</v>
      </c>
    </row>
    <row r="8" spans="1:10" ht="28.2" thickBot="1" x14ac:dyDescent="0.35">
      <c r="A8" s="10">
        <v>7</v>
      </c>
      <c r="B8" s="11" t="s">
        <v>14</v>
      </c>
      <c r="C8" s="12" t="s">
        <v>17</v>
      </c>
      <c r="D8" s="12" t="s">
        <v>18</v>
      </c>
      <c r="E8" s="12" t="s">
        <v>19</v>
      </c>
      <c r="F8" s="1" t="s">
        <v>41</v>
      </c>
      <c r="G8" s="1" t="s">
        <v>57</v>
      </c>
      <c r="H8" s="1" t="s">
        <v>41</v>
      </c>
      <c r="I8" s="1" t="s">
        <v>46</v>
      </c>
      <c r="J8" s="1" t="s">
        <v>46</v>
      </c>
    </row>
    <row r="9" spans="1:10" ht="28.2" thickBot="1" x14ac:dyDescent="0.35">
      <c r="A9" s="10">
        <v>8</v>
      </c>
      <c r="B9" s="11" t="s">
        <v>14</v>
      </c>
      <c r="C9" s="12" t="s">
        <v>20</v>
      </c>
      <c r="D9" s="12" t="s">
        <v>21</v>
      </c>
      <c r="E9" s="12" t="s">
        <v>22</v>
      </c>
      <c r="F9" s="1" t="s">
        <v>42</v>
      </c>
      <c r="G9" s="1" t="s">
        <v>22</v>
      </c>
      <c r="H9" s="1" t="s">
        <v>42</v>
      </c>
      <c r="I9" s="1" t="s">
        <v>46</v>
      </c>
      <c r="J9" s="1" t="s">
        <v>46</v>
      </c>
    </row>
    <row r="10" spans="1:10" ht="43.8" thickBot="1" x14ac:dyDescent="0.35">
      <c r="A10" s="10">
        <v>9</v>
      </c>
      <c r="B10" s="11" t="s">
        <v>23</v>
      </c>
      <c r="C10" s="12" t="s">
        <v>24</v>
      </c>
      <c r="D10" s="12" t="s">
        <v>13</v>
      </c>
      <c r="E10" s="13">
        <v>86645</v>
      </c>
      <c r="F10" s="1" t="s">
        <v>43</v>
      </c>
      <c r="G10" s="14" t="s">
        <v>58</v>
      </c>
      <c r="H10" s="14" t="s">
        <v>59</v>
      </c>
      <c r="I10" s="2">
        <v>96550</v>
      </c>
      <c r="J10" s="1" t="s">
        <v>64</v>
      </c>
    </row>
    <row r="11" spans="1:10" ht="43.8" thickBot="1" x14ac:dyDescent="0.35">
      <c r="A11" s="10">
        <v>10</v>
      </c>
      <c r="B11" s="11" t="s">
        <v>23</v>
      </c>
      <c r="C11" s="12" t="s">
        <v>25</v>
      </c>
      <c r="D11" s="12" t="s">
        <v>26</v>
      </c>
      <c r="E11" s="13">
        <v>98995</v>
      </c>
      <c r="F11" s="1" t="s">
        <v>44</v>
      </c>
      <c r="G11" s="2">
        <v>98995915</v>
      </c>
      <c r="H11" s="14" t="s">
        <v>60</v>
      </c>
      <c r="I11" s="2">
        <v>98995</v>
      </c>
      <c r="J11" s="1" t="s">
        <v>44</v>
      </c>
    </row>
    <row r="12" spans="1:10" ht="28.2" thickBot="1" x14ac:dyDescent="0.35">
      <c r="A12" s="10">
        <v>11</v>
      </c>
      <c r="B12" s="11" t="s">
        <v>23</v>
      </c>
      <c r="C12" s="12" t="s">
        <v>27</v>
      </c>
      <c r="D12" s="12" t="s">
        <v>13</v>
      </c>
      <c r="E12" s="12" t="s">
        <v>28</v>
      </c>
      <c r="F12" s="1" t="s">
        <v>45</v>
      </c>
      <c r="G12" s="1" t="s">
        <v>28</v>
      </c>
      <c r="H12" s="1" t="s">
        <v>45</v>
      </c>
      <c r="I12" s="1" t="s">
        <v>46</v>
      </c>
      <c r="J12" s="1" t="s">
        <v>46</v>
      </c>
    </row>
    <row r="13" spans="1:10" ht="28.2" thickBot="1" x14ac:dyDescent="0.35">
      <c r="A13" s="10">
        <v>12</v>
      </c>
      <c r="B13" s="11" t="s">
        <v>29</v>
      </c>
      <c r="C13" s="12" t="s">
        <v>30</v>
      </c>
      <c r="D13" s="12" t="s">
        <v>31</v>
      </c>
      <c r="E13" s="12" t="s">
        <v>32</v>
      </c>
      <c r="F13" s="1" t="s">
        <v>46</v>
      </c>
      <c r="G13" s="1" t="s">
        <v>61</v>
      </c>
      <c r="H13" s="1" t="s">
        <v>46</v>
      </c>
      <c r="I13" s="1" t="s">
        <v>46</v>
      </c>
      <c r="J13" s="1" t="s">
        <v>46</v>
      </c>
    </row>
  </sheetData>
  <hyperlinks>
    <hyperlink ref="F5" r:id="rId1" display="https://www.dyerchevy.com/blogs/5410/discover-the-2024-chevy-blazer-ev-trim-levels-that-suit-every-lifestyle" xr:uid="{A415D4FC-CD2B-4B66-8479-199D8F5F64E5}"/>
    <hyperlink ref="F6" r:id="rId2" display="https://news.gm.com/home.detail.html/Pages/news/us/en/2024/oct/1007-silveradoev.html" xr:uid="{3EBA1151-D245-4B65-BF5C-DA9EFF46E2FA}"/>
    <hyperlink ref="H2" r:id="rId3" display="https://www.fivestarchevy.net/chevy-research/chevy-bolt-ev-price/" xr:uid="{24E86C8D-9A62-4213-A329-189FA3667F6A}"/>
    <hyperlink ref="H3" r:id="rId4" display="https://www.fivestarchevy.net/chevy-research/chevy-bolt-ev-price/" xr:uid="{3FF70438-6D7C-456C-B9C1-54EC829226C9}"/>
    <hyperlink ref="G5" r:id="rId5" display="https://www.chevrolet.com/electric/lineup" xr:uid="{20DB7DCC-4C5F-41F3-88C2-99D461EAFBD4}"/>
    <hyperlink ref="G10" r:id="rId6" display="https://www.cerritosgm.com/models/2024-gmc-hummer+ev+pickup" xr:uid="{26ED4FF2-C3E4-4229-963E-4A8AF0CDC1FB}"/>
    <hyperlink ref="H10" r:id="rId7" display="https://www.cerritosgm.com/models/2024-gmc-hummer+ev+pickup" xr:uid="{7AAAA0E9-5B6E-4E54-BD06-D93FB843CA34}"/>
    <hyperlink ref="H11" r:id="rId8" display="https://www.gmc.com/electric/hummer-ev/pickup-truck" xr:uid="{AB6F4519-2CE6-4431-8D41-37ADB7C7DB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Revenue</vt:lpstr>
      <vt:lpstr>EV Sales</vt:lpstr>
      <vt:lpstr>Main</vt:lpstr>
      <vt:lpstr>Sales</vt:lpstr>
      <vt:lpstr>Sheet4</vt:lpstr>
      <vt:lpstr>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Giri, Rohan</dc:creator>
  <cp:lastModifiedBy>Giri, Rohan</cp:lastModifiedBy>
  <cp:lastPrinted>2025-02-07T06:39:04Z</cp:lastPrinted>
  <dcterms:created xsi:type="dcterms:W3CDTF">2025-02-06T16:17:04Z</dcterms:created>
  <dcterms:modified xsi:type="dcterms:W3CDTF">2025-02-07T09:10:58Z</dcterms:modified>
</cp:coreProperties>
</file>