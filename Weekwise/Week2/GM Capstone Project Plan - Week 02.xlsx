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filterPrivacy="1" codeName="ThisWorkbook"/>
  <xr:revisionPtr revIDLastSave="0" documentId="13_ncr:1_{B1C7D77B-980C-6C4C-8D6F-AD259002E1B8}" xr6:coauthVersionLast="47" xr6:coauthVersionMax="47" xr10:uidLastSave="{00000000-0000-0000-0000-000000000000}"/>
  <bookViews>
    <workbookView xWindow="0" yWindow="740" windowWidth="29400" windowHeight="18380" xr2:uid="{00000000-000D-0000-FFFF-FFFF00000000}"/>
  </bookViews>
  <sheets>
    <sheet name="ProjectSchedule" sheetId="11" r:id="rId1"/>
    <sheet name="Team Roles" sheetId="13" r:id="rId2"/>
    <sheet name="About" sheetId="12" state="hidden" r:id="rId3"/>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iterateDelta="9.999999999999445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7" i="11" l="1"/>
  <c r="E33" i="11" s="1"/>
  <c r="F33" i="11" s="1"/>
  <c r="F23" i="11"/>
  <c r="E21" i="11"/>
  <c r="F21" i="11" s="1"/>
  <c r="F22" i="11"/>
  <c r="F14" i="11"/>
  <c r="F20" i="11"/>
  <c r="F19" i="11"/>
  <c r="F17" i="11"/>
  <c r="F15" i="11"/>
  <c r="F16" i="11"/>
  <c r="H25" i="11"/>
  <c r="H7" i="11" l="1"/>
  <c r="E9" i="11" l="1"/>
  <c r="F9" i="11" s="1"/>
  <c r="E10" i="11" s="1"/>
  <c r="F10" i="11" s="1"/>
  <c r="I5" i="11" l="1"/>
  <c r="H39" i="11"/>
  <c r="H38" i="11"/>
  <c r="H32" i="11"/>
  <c r="H18" i="11"/>
  <c r="H12" i="11"/>
  <c r="H8" i="11"/>
  <c r="H20" i="11" l="1"/>
  <c r="H19" i="11"/>
  <c r="H9" i="11"/>
  <c r="I6" i="11"/>
  <c r="E11" i="11" l="1"/>
  <c r="H10" i="11"/>
  <c r="H21" i="11"/>
  <c r="J5" i="11"/>
  <c r="K5" i="11" s="1"/>
  <c r="L5" i="11" s="1"/>
  <c r="M5" i="11" s="1"/>
  <c r="N5" i="11" s="1"/>
  <c r="O5" i="11" s="1"/>
  <c r="P5" i="11" s="1"/>
  <c r="I4" i="11"/>
  <c r="F11" i="11" l="1"/>
  <c r="F13" i="11" s="1"/>
  <c r="H13" i="11" s="1"/>
  <c r="H14" i="11"/>
  <c r="P4" i="11"/>
  <c r="Q5" i="11"/>
  <c r="R5" i="11" s="1"/>
  <c r="S5" i="11" s="1"/>
  <c r="T5" i="11" s="1"/>
  <c r="U5" i="11" s="1"/>
  <c r="V5" i="11" s="1"/>
  <c r="W5" i="11" s="1"/>
  <c r="J6" i="11"/>
  <c r="H22" i="11" l="1"/>
  <c r="E24" i="11"/>
  <c r="F24" i="11" s="1"/>
  <c r="H17" i="11"/>
  <c r="H15" i="11"/>
  <c r="W4" i="11"/>
  <c r="X5" i="11"/>
  <c r="Y5" i="11" s="1"/>
  <c r="Z5" i="11" s="1"/>
  <c r="AA5" i="11" s="1"/>
  <c r="AB5" i="11" s="1"/>
  <c r="AC5" i="11" s="1"/>
  <c r="AD5" i="11" s="1"/>
  <c r="K6" i="11"/>
  <c r="H24" i="11" l="1"/>
  <c r="AE5" i="11"/>
  <c r="AF5" i="11" s="1"/>
  <c r="AG5" i="11" s="1"/>
  <c r="AH5" i="11" s="1"/>
  <c r="AI5" i="11" s="1"/>
  <c r="AJ5" i="11" s="1"/>
  <c r="AD4" i="11"/>
  <c r="L6" i="11"/>
  <c r="F26" i="11" l="1"/>
  <c r="E27" i="11" s="1"/>
  <c r="H26" i="11"/>
  <c r="AK5" i="11"/>
  <c r="AL5" i="11" s="1"/>
  <c r="AM5" i="11" s="1"/>
  <c r="AN5" i="11" s="1"/>
  <c r="AO5" i="11" s="1"/>
  <c r="AP5" i="11" s="1"/>
  <c r="AQ5" i="11" s="1"/>
  <c r="M6" i="11"/>
  <c r="E28" i="11" l="1"/>
  <c r="AR5" i="11"/>
  <c r="AS5" i="11" s="1"/>
  <c r="AK4" i="11"/>
  <c r="N6" i="11"/>
  <c r="F28" i="11" l="1"/>
  <c r="E29" i="11" s="1"/>
  <c r="F29" i="11" s="1"/>
  <c r="E31" i="11" s="1"/>
  <c r="F31" i="11" s="1"/>
  <c r="H28" i="11"/>
  <c r="H27" i="11"/>
  <c r="AT5" i="11"/>
  <c r="AS6" i="11"/>
  <c r="AR4" i="11"/>
  <c r="O6" i="11"/>
  <c r="E30" i="11" l="1"/>
  <c r="F30" i="11" s="1"/>
  <c r="H29" i="11"/>
  <c r="AU5" i="11"/>
  <c r="AT6" i="11"/>
  <c r="H31" i="11" l="1"/>
  <c r="AV5" i="11"/>
  <c r="AU6" i="11"/>
  <c r="P6" i="11"/>
  <c r="Q6" i="11"/>
  <c r="E34" i="11" l="1"/>
  <c r="H33" i="11"/>
  <c r="AW5" i="11"/>
  <c r="AV6" i="11"/>
  <c r="R6" i="11"/>
  <c r="F34" i="11" l="1"/>
  <c r="E35" i="11" s="1"/>
  <c r="H34" i="11"/>
  <c r="AX5" i="11"/>
  <c r="AY5" i="11" s="1"/>
  <c r="AW6" i="11"/>
  <c r="S6" i="11"/>
  <c r="F35" i="11" l="1"/>
  <c r="E36" i="11" s="1"/>
  <c r="H35" i="11"/>
  <c r="AY6" i="11"/>
  <c r="AZ5" i="11"/>
  <c r="AY4" i="11"/>
  <c r="AX6" i="11"/>
  <c r="T6" i="11"/>
  <c r="F36" i="11" l="1"/>
  <c r="E37" i="11" s="1"/>
  <c r="H36" i="11"/>
  <c r="BA5" i="11"/>
  <c r="AZ6" i="11"/>
  <c r="U6" i="11"/>
  <c r="F37" i="11" l="1"/>
  <c r="H37" i="11"/>
  <c r="BA6" i="11"/>
  <c r="BB5" i="11"/>
  <c r="V6" i="11"/>
  <c r="BB6" i="11" l="1"/>
  <c r="BC5" i="11"/>
  <c r="W6" i="11"/>
  <c r="BC6" i="11" l="1"/>
  <c r="BD5" i="11"/>
  <c r="X6" i="11"/>
  <c r="BE5" i="11" l="1"/>
  <c r="BD6" i="11"/>
  <c r="Y6" i="11"/>
  <c r="BE6" i="11" l="1"/>
  <c r="BF5" i="11"/>
  <c r="BF4" i="11" s="1"/>
  <c r="Z6" i="11"/>
  <c r="BF6" i="11" l="1"/>
  <c r="BG5" i="11"/>
  <c r="AA6" i="11"/>
  <c r="BG6" i="11" l="1"/>
  <c r="BH5" i="11"/>
  <c r="AB6" i="11"/>
  <c r="BI5" i="11" l="1"/>
  <c r="BH6" i="11"/>
  <c r="AC6" i="11"/>
  <c r="BJ5" i="11" l="1"/>
  <c r="BI6" i="11"/>
  <c r="AD6" i="11"/>
  <c r="BK5" i="11" l="1"/>
  <c r="BJ6" i="11"/>
  <c r="AE6" i="11"/>
  <c r="BL5" i="11" l="1"/>
  <c r="BM5" i="11" s="1"/>
  <c r="BK6" i="11"/>
  <c r="AF6" i="11"/>
  <c r="BN5" i="11" l="1"/>
  <c r="BM6" i="11"/>
  <c r="BM4" i="11"/>
  <c r="BL6" i="11"/>
  <c r="AG6" i="11"/>
  <c r="BN6" i="11" l="1"/>
  <c r="BO5" i="11"/>
  <c r="AH6" i="11"/>
  <c r="BO6" i="11" l="1"/>
  <c r="BP5" i="11"/>
  <c r="AI6" i="11"/>
  <c r="BP6" i="11" l="1"/>
  <c r="BQ5" i="11"/>
  <c r="AJ6" i="11"/>
  <c r="BQ6" i="11" l="1"/>
  <c r="BR5" i="11"/>
  <c r="AK6" i="11"/>
  <c r="BS5" i="11" l="1"/>
  <c r="BR6" i="11"/>
  <c r="AL6" i="11"/>
  <c r="BS6" i="11" l="1"/>
  <c r="BT5" i="11"/>
  <c r="AM6" i="11"/>
  <c r="BU5" i="11" l="1"/>
  <c r="BT6" i="11"/>
  <c r="BT4" i="11"/>
  <c r="AN6" i="11"/>
  <c r="BU6" i="11" l="1"/>
  <c r="BV5" i="11"/>
  <c r="AO6" i="11"/>
  <c r="BV6" i="11" l="1"/>
  <c r="BW5" i="11"/>
  <c r="AP6" i="11"/>
  <c r="BX5" i="11" l="1"/>
  <c r="BW6" i="11"/>
  <c r="AQ6" i="11"/>
  <c r="BY5" i="11" l="1"/>
  <c r="BX6" i="11"/>
  <c r="AR6" i="11"/>
  <c r="BZ5" i="11" l="1"/>
  <c r="BY6" i="11"/>
  <c r="BZ6" i="11" l="1"/>
  <c r="CA5" i="11"/>
  <c r="CB5" i="11" l="1"/>
  <c r="CA6" i="11"/>
  <c r="CA4" i="11"/>
  <c r="CC5" i="11" l="1"/>
  <c r="CB6" i="11"/>
  <c r="CD5" i="11" l="1"/>
  <c r="CC6" i="11"/>
  <c r="CE5" i="11" l="1"/>
  <c r="CD6" i="11"/>
  <c r="CE6" i="11" l="1"/>
  <c r="CF5" i="11"/>
  <c r="CF6" i="11" l="1"/>
  <c r="CG5" i="11"/>
  <c r="CG6" i="11" l="1"/>
  <c r="CH5" i="11"/>
  <c r="CH6" i="11" l="1"/>
  <c r="CH4" i="11"/>
  <c r="CI5" i="11"/>
  <c r="CJ5" i="11" l="1"/>
  <c r="CI6" i="11"/>
  <c r="CK5" i="11" l="1"/>
  <c r="CJ6" i="11"/>
  <c r="CL5" i="11" l="1"/>
  <c r="CK6" i="11"/>
  <c r="CM5" i="11" l="1"/>
  <c r="CL6" i="11"/>
  <c r="CN5" i="11" l="1"/>
  <c r="CM6" i="11"/>
  <c r="CO5" i="11" l="1"/>
  <c r="CN6" i="11"/>
  <c r="CP5" i="11" l="1"/>
  <c r="CO6" i="11"/>
  <c r="CO4" i="11"/>
  <c r="CQ5" i="11" l="1"/>
  <c r="CP6" i="11"/>
  <c r="CR5" i="11" l="1"/>
  <c r="CQ6" i="11"/>
  <c r="CR6" i="11" l="1"/>
  <c r="CS5" i="11"/>
  <c r="CS6" i="11" l="1"/>
  <c r="CT5" i="11"/>
  <c r="CT6" i="11" l="1"/>
  <c r="CU5" i="11"/>
  <c r="CU6" i="11" l="1"/>
  <c r="CV5" i="11"/>
  <c r="CV6" i="11" l="1"/>
  <c r="CV4" i="11"/>
  <c r="CW5" i="11"/>
  <c r="CW6" i="11" l="1"/>
  <c r="CX5" i="11"/>
  <c r="CX6" i="11" l="1"/>
  <c r="CY5" i="11"/>
  <c r="CZ5" i="11" l="1"/>
  <c r="CY6" i="11"/>
  <c r="CZ6" i="11" l="1"/>
  <c r="DA5" i="11"/>
  <c r="DB5" i="11" l="1"/>
  <c r="DA6" i="11"/>
  <c r="DC5" i="11" l="1"/>
  <c r="DB6" i="11"/>
  <c r="DC6" i="11" l="1"/>
  <c r="DC4" i="11"/>
  <c r="DD5" i="11"/>
  <c r="DD6" i="11" l="1"/>
  <c r="DE5" i="11"/>
  <c r="DF5" i="11" l="1"/>
  <c r="DE6" i="11"/>
  <c r="DG5" i="11" l="1"/>
  <c r="DF6" i="11"/>
  <c r="DH5" i="11" l="1"/>
  <c r="DG6" i="11"/>
  <c r="DH6" i="11" l="1"/>
  <c r="DI5" i="11"/>
  <c r="DJ5" i="11" l="1"/>
  <c r="DI6" i="11"/>
  <c r="DJ4" i="11" l="1"/>
  <c r="DJ6" i="11"/>
  <c r="DK5" i="11"/>
  <c r="DK6" i="11" l="1"/>
  <c r="DL5" i="11"/>
  <c r="DM5" i="11" l="1"/>
  <c r="DL6" i="11"/>
  <c r="DN5" i="11" l="1"/>
  <c r="DM6" i="11"/>
  <c r="DO5" i="11" l="1"/>
  <c r="DN6" i="11"/>
  <c r="DP5" i="11" l="1"/>
  <c r="DP6" i="11" s="1"/>
  <c r="DO6" i="11"/>
</calcChain>
</file>

<file path=xl/sharedStrings.xml><?xml version="1.0" encoding="utf-8"?>
<sst xmlns="http://schemas.openxmlformats.org/spreadsheetml/2006/main" count="134" uniqueCount="105">
  <si>
    <t>Insert new rows ABOVE this one</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</si>
  <si>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</si>
  <si>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</si>
  <si>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</si>
  <si>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</si>
  <si>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</si>
  <si>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</si>
  <si>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</si>
  <si>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</si>
  <si>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</si>
  <si>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</si>
  <si>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</si>
  <si>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</si>
  <si>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</si>
  <si>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</si>
  <si>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</si>
  <si>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</si>
  <si>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</si>
  <si>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</si>
  <si>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</si>
  <si>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</si>
  <si>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</si>
  <si>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</si>
  <si>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</si>
  <si>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</si>
  <si>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Sample phase title block</t>
  </si>
  <si>
    <t>This row marks the end of the Project Schedule. DO NOT enter anything in this row. 
Insert new rows ABOVE this one to continue building out your Project Schedule.</t>
  </si>
  <si>
    <t>This is an empty row</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</si>
  <si>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</si>
  <si>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</si>
  <si>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</si>
  <si>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</si>
  <si>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</si>
  <si>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</si>
  <si>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</si>
  <si>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</si>
  <si>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</si>
  <si>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</si>
  <si>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Explore Source Data</t>
  </si>
  <si>
    <t>Operational Execution and Change Management</t>
  </si>
  <si>
    <t>Prelimary assessment of Project Scope</t>
  </si>
  <si>
    <t>Requirements Meeting with Client and data access</t>
  </si>
  <si>
    <t>Team</t>
  </si>
  <si>
    <t>Search for available third party open source data</t>
  </si>
  <si>
    <t>Finalize data sources and join criteria</t>
  </si>
  <si>
    <t>Build KPIs</t>
  </si>
  <si>
    <t>Feature Engineering</t>
  </si>
  <si>
    <t>EDA and Visualization</t>
  </si>
  <si>
    <t>Define Modelling approach</t>
  </si>
  <si>
    <t>Documentation</t>
  </si>
  <si>
    <t>Train on entire data</t>
  </si>
  <si>
    <t>Fine-tuning</t>
  </si>
  <si>
    <t>Build Dashboard</t>
  </si>
  <si>
    <t>Finalize data representation with client</t>
  </si>
  <si>
    <t>Client agreement on KPIs</t>
  </si>
  <si>
    <t>Document results in presentation and report</t>
  </si>
  <si>
    <t xml:space="preserve">Presentation to GM </t>
  </si>
  <si>
    <t>Project Handover to GM team</t>
  </si>
  <si>
    <t>Analysis (Modeling, Simulation and Optimization)</t>
  </si>
  <si>
    <t>Run Simulations for optimized locations</t>
  </si>
  <si>
    <t>Evaluate results and review with GM</t>
  </si>
  <si>
    <t>Articulate the Business Outcomes</t>
  </si>
  <si>
    <t>Project timeline proposal to client</t>
  </si>
  <si>
    <t>Project Scoping and defining deliverables</t>
  </si>
  <si>
    <t>Client agreement on deliverables</t>
  </si>
  <si>
    <t>Estimate Project ROI</t>
  </si>
  <si>
    <t>Capstone Team 8: Muhammad Ibrahim, Sarah Lee, John Hwang, Rohan Giri, Varsha Manju Jayakumar, Ammar Mustufa</t>
  </si>
  <si>
    <t>General Motors</t>
  </si>
  <si>
    <t>Powering the future through smart EV expansion</t>
  </si>
  <si>
    <t>c.                  Build dashboards and presentations for regular and final calls with client/ academic advisor along with the PM</t>
  </si>
  <si>
    <t>a.                   Track progress of overall project</t>
  </si>
  <si>
    <t xml:space="preserve">b.                  Ensure communications and regular team meetings between capstone team, academic advisor and client. </t>
  </si>
  <si>
    <t>c.                   Will be responsible to kickoff meetings with executive summary and handover to individual roles for specific updates</t>
  </si>
  <si>
    <t>d.                  Responsible for curating the final presentation for client meetings</t>
  </si>
  <si>
    <t>e.                   Responsible for tracking minutes of meeting and action items</t>
  </si>
  <si>
    <t>f.                      Manage deliverables and submission of assignments  and reflective journal</t>
  </si>
  <si>
    <t>g.                   Responsible to resolve any internal conflicts or resource backlog</t>
  </si>
  <si>
    <t xml:space="preserve">2.                  Data Analytics and Modelling: (Primary: Varsha, Ammar, John, Secondary: Ibrahim, Rohan, Sarah) </t>
  </si>
  <si>
    <t>a.                   Integrating data from primary source (client data) and open source/ third party data.</t>
  </si>
  <si>
    <t>b.                  KPI building and feature engineering</t>
  </si>
  <si>
    <t>c.                   Driving insights from the data</t>
  </si>
  <si>
    <t>d.                  Modelling Analysis</t>
  </si>
  <si>
    <t>e.                   Training, fine-tuning and deploying models</t>
  </si>
  <si>
    <t>3.                  Technical Documentation: (Primary: Rohan, Secondary: John, Sarah, Ammar)</t>
  </si>
  <si>
    <t>a.                   Document and compile reports, analysis and visualizations from all steps of the project life cycle</t>
  </si>
  <si>
    <t xml:space="preserve">b.                  Maintain the master code base (git hub) and different approaches taken during the project and their results. </t>
  </si>
  <si>
    <t xml:space="preserve">1.                  Project and stakeholder management: </t>
  </si>
  <si>
    <t>Ibrahim</t>
  </si>
  <si>
    <t>Sarah</t>
  </si>
  <si>
    <t>Varsha</t>
  </si>
  <si>
    <t>John</t>
  </si>
  <si>
    <t>Ammar</t>
  </si>
  <si>
    <t>Rohan</t>
  </si>
  <si>
    <t>Akhil</t>
  </si>
  <si>
    <t>Ria</t>
  </si>
  <si>
    <t>Alice</t>
  </si>
  <si>
    <t>Kirti</t>
  </si>
  <si>
    <t>Project Administration and Logistics</t>
  </si>
  <si>
    <t>DA</t>
  </si>
  <si>
    <t>PM</t>
  </si>
  <si>
    <t>VTD</t>
  </si>
  <si>
    <t>PM, DA</t>
  </si>
  <si>
    <t>DA, VTD</t>
  </si>
  <si>
    <t>PM, VTD</t>
  </si>
  <si>
    <r>
      <rPr>
        <b/>
        <sz val="11"/>
        <color theme="1"/>
        <rFont val="Calibri"/>
        <family val="2"/>
        <scheme val="minor"/>
      </rPr>
      <t>Teams:</t>
    </r>
    <r>
      <rPr>
        <sz val="11"/>
        <color theme="1"/>
        <rFont val="Calibri"/>
        <family val="2"/>
        <scheme val="minor"/>
      </rPr>
      <t xml:space="preserve"> Product Management, Data Analytics, Visualization and Technical Documentation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</si>
</sst>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8"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i/>
      <sz val="9"/>
      <color theme="0" tint="-4.9989318521683403E-2"/>
      <name val="Calibri"/>
      <family val="2"/>
      <scheme val="minor"/>
    </font>
    <font>
      <b/>
      <sz val="12"/>
      <color rgb="FF2D3B45"/>
      <name val="Aptos"/>
    </font>
    <font>
      <sz val="12"/>
      <color rgb="FF2D3B45"/>
      <name val="Aptos"/>
    </font>
    <font>
      <sz val="12"/>
      <color theme="1"/>
      <name val="Aptos"/>
    </font>
    <font>
      <b/>
      <sz val="12"/>
      <color theme="1"/>
      <name val="Aptos"/>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FFF987"/>
        <bgColor indexed="64"/>
      </patternFill>
    </fill>
    <fill>
      <patternFill patternType="solid">
        <fgColor rgb="FFE7E860"/>
        <bgColor indexed="6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5" fontId="9" fillId="0" borderId="3">
      <alignment horizontal="center" vertical="center"/>
    </xf>
    <xf numFmtId="164"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10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7" fontId="11" fillId="7" borderId="0" xfId="0" applyNumberFormat="1" applyFont="1" applyFill="1" applyAlignment="1">
      <alignment horizontal="center" vertical="center"/>
    </xf>
    <xf numFmtId="167" fontId="11" fillId="7" borderId="6" xfId="0" applyNumberFormat="1" applyFont="1" applyFill="1" applyBorder="1" applyAlignment="1">
      <alignment horizontal="center" vertical="center"/>
    </xf>
    <xf numFmtId="167"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164" fontId="0" fillId="8" borderId="2" xfId="0" applyNumberFormat="1" applyFill="1" applyBorder="1" applyAlignment="1">
      <alignment horizontal="center" vertical="center"/>
    </xf>
    <xf numFmtId="164" fontId="5" fillId="8"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3" fillId="0" borderId="0" xfId="5" applyAlignment="1">
      <alignment horizontal="left"/>
    </xf>
    <xf numFmtId="164" fontId="9" fillId="3" borderId="2" xfId="10" applyFill="1">
      <alignment horizontal="center" vertical="center"/>
    </xf>
    <xf numFmtId="164" fontId="9" fillId="4" borderId="2" xfId="10" applyFill="1">
      <alignment horizontal="center" vertical="center"/>
    </xf>
    <xf numFmtId="164" fontId="9" fillId="11" borderId="2" xfId="10" applyFill="1">
      <alignment horizontal="center" vertical="center"/>
    </xf>
    <xf numFmtId="164" fontId="9" fillId="10" borderId="2" xfId="10" applyFill="1">
      <alignment horizontal="center" vertical="center"/>
    </xf>
    <xf numFmtId="164" fontId="9" fillId="0" borderId="2" xfId="10">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9" fillId="14" borderId="2" xfId="11" applyFill="1">
      <alignment horizontal="center" vertical="center"/>
    </xf>
    <xf numFmtId="9" fontId="5" fillId="14" borderId="2" xfId="2" applyFont="1" applyFill="1" applyBorder="1" applyAlignment="1">
      <alignment horizontal="center" vertical="center"/>
    </xf>
    <xf numFmtId="0" fontId="9" fillId="14" borderId="2" xfId="12" applyFill="1">
      <alignment horizontal="left" vertical="center" indent="2"/>
    </xf>
    <xf numFmtId="164" fontId="9" fillId="14" borderId="2" xfId="10" applyFill="1">
      <alignment horizontal="center" vertical="center"/>
    </xf>
    <xf numFmtId="0" fontId="6" fillId="15" borderId="2" xfId="0" applyFont="1" applyFill="1" applyBorder="1" applyAlignment="1">
      <alignment horizontal="left" vertical="center" indent="1"/>
    </xf>
    <xf numFmtId="0" fontId="9" fillId="15" borderId="2" xfId="11" applyFill="1">
      <alignment horizontal="center" vertical="center"/>
    </xf>
    <xf numFmtId="9" fontId="5" fillId="15" borderId="2" xfId="2" applyFont="1" applyFill="1" applyBorder="1" applyAlignment="1">
      <alignment horizontal="center" vertical="center"/>
    </xf>
    <xf numFmtId="164" fontId="0" fillId="15" borderId="2" xfId="0" applyNumberFormat="1" applyFill="1" applyBorder="1" applyAlignment="1">
      <alignment horizontal="center" vertical="center"/>
    </xf>
    <xf numFmtId="164" fontId="5" fillId="15" borderId="2" xfId="0" applyNumberFormat="1" applyFont="1" applyFill="1" applyBorder="1" applyAlignment="1">
      <alignment horizontal="center" vertical="center"/>
    </xf>
    <xf numFmtId="0" fontId="9" fillId="0" borderId="0" xfId="8">
      <alignment horizontal="right" indent="1"/>
    </xf>
    <xf numFmtId="0" fontId="9" fillId="0" borderId="7" xfId="8" applyBorder="1">
      <alignment horizontal="right" indent="1"/>
    </xf>
    <xf numFmtId="0" fontId="0" fillId="0" borderId="10" xfId="0" applyBorder="1"/>
    <xf numFmtId="166" fontId="0" fillId="7" borderId="4"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5" xfId="0" applyNumberFormat="1" applyFill="1" applyBorder="1" applyAlignment="1">
      <alignment horizontal="left" vertical="center" wrapText="1" indent="1"/>
    </xf>
    <xf numFmtId="165" fontId="9" fillId="0" borderId="3" xfId="9">
      <alignment horizontal="center" vertical="center"/>
    </xf>
    <xf numFmtId="0" fontId="10" fillId="0" borderId="0" xfId="6" applyAlignment="1">
      <alignment vertical="top"/>
    </xf>
    <xf numFmtId="0" fontId="10" fillId="0" borderId="0" xfId="7" applyAlignment="1">
      <alignment vertical="center"/>
    </xf>
    <xf numFmtId="0" fontId="23" fillId="2" borderId="2" xfId="0" applyFont="1" applyFill="1" applyBorder="1" applyAlignment="1">
      <alignment horizontal="left" vertical="center" indent="1"/>
    </xf>
    <xf numFmtId="0" fontId="24" fillId="0" borderId="0" xfId="0" applyFont="1" applyAlignment="1">
      <alignment horizontal="left" vertical="center" indent="4"/>
    </xf>
    <xf numFmtId="0" fontId="25" fillId="0" borderId="0" xfId="0" applyFont="1" applyAlignment="1">
      <alignment horizontal="left" vertical="center" indent="9"/>
    </xf>
    <xf numFmtId="0" fontId="25" fillId="0" borderId="0" xfId="0" applyFont="1" applyAlignment="1">
      <alignment horizontal="left" vertical="center" indent="4"/>
    </xf>
    <xf numFmtId="0" fontId="26" fillId="0" borderId="0" xfId="0" applyFont="1"/>
    <xf numFmtId="0" fontId="27" fillId="0" borderId="0" xfId="0" applyFont="1"/>
    <xf numFmtId="0" fontId="0" fillId="0" borderId="0" xfId="0" applyAlignment="1">
      <alignment wrapText="1" shrinkToFi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E7E860"/>
      <color rgb="FFFFF987"/>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71</xdr:col>
      <xdr:colOff>84668</xdr:colOff>
      <xdr:row>28</xdr:row>
      <xdr:rowOff>0</xdr:rowOff>
    </xdr:from>
    <xdr:to>
      <xdr:col>72</xdr:col>
      <xdr:colOff>135468</xdr:colOff>
      <xdr:row>28</xdr:row>
      <xdr:rowOff>232671</xdr:rowOff>
    </xdr:to>
    <xdr:sp macro="" textlink="">
      <xdr:nvSpPr>
        <xdr:cNvPr id="2" name="5-Point Star 1">
          <a:extLst>
            <a:ext uri="{FF2B5EF4-FFF2-40B4-BE49-F238E27FC236}">
              <a16:creationId xmlns:a16="http://schemas.microsoft.com/office/drawing/2014/main" id="{BD0CF45E-81A8-71EA-A743-2578C8CE4CC1}"/>
            </a:ext>
          </a:extLst>
        </xdr:cNvPr>
        <xdr:cNvSpPr/>
      </xdr:nvSpPr>
      <xdr:spPr>
        <a:xfrm>
          <a:off x="21597111" y="10024275"/>
          <a:ext cx="254388" cy="232671"/>
        </a:xfrm>
        <a:prstGeom prst="star5">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P42"/>
  <sheetViews>
    <sheetView showGridLines="0" tabSelected="1" showRuler="0" zoomScale="50" zoomScaleNormal="100" zoomScalePageLayoutView="70" workbookViewId="0">
      <pane ySplit="6" topLeftCell="A8" activePane="bottomLeft" state="frozen"/>
      <selection pane="bottomLeft" activeCell="CA29" sqref="CA29"/>
    </sheetView>
  </sheetViews>
  <sheetFormatPr baseColWidth="10" defaultColWidth="8.83203125" defaultRowHeight="30" customHeight="1" x14ac:dyDescent="0.2"/>
  <cols>
    <col min="1" max="1" width="2.6640625" style="57" customWidth="1"/>
    <col min="2" max="2" width="46.6640625" customWidth="1"/>
    <col min="3" max="3" width="30.6640625" customWidth="1"/>
    <col min="4" max="4" width="10.6640625" customWidth="1"/>
    <col min="5" max="5" width="10.33203125" style="5" customWidth="1"/>
    <col min="6" max="6" width="10.33203125" customWidth="1"/>
    <col min="7" max="7" width="2.6640625" customWidth="1"/>
    <col min="8" max="8" width="6.1640625" hidden="1" customWidth="1"/>
    <col min="9" max="120" width="2.6640625" customWidth="1"/>
  </cols>
  <sheetData>
    <row r="1" spans="1:120" ht="30" customHeight="1" x14ac:dyDescent="0.35">
      <c r="A1" s="58" t="s">
        <v>29</v>
      </c>
      <c r="B1" s="62" t="s">
        <v>68</v>
      </c>
      <c r="C1" s="1"/>
      <c r="D1" s="2"/>
      <c r="E1" s="4"/>
      <c r="F1" s="46"/>
      <c r="H1" s="2"/>
      <c r="I1" s="14"/>
    </row>
    <row r="2" spans="1:120" ht="30" customHeight="1" x14ac:dyDescent="0.2">
      <c r="A2" s="57" t="s">
        <v>24</v>
      </c>
      <c r="B2" s="99" t="s">
        <v>66</v>
      </c>
      <c r="I2" s="60"/>
    </row>
    <row r="3" spans="1:120" ht="30" customHeight="1" x14ac:dyDescent="0.2">
      <c r="A3" s="57" t="s">
        <v>30</v>
      </c>
      <c r="B3" s="98" t="s">
        <v>67</v>
      </c>
      <c r="C3" s="91" t="s">
        <v>1</v>
      </c>
      <c r="D3" s="92"/>
      <c r="E3" s="97">
        <v>45673</v>
      </c>
      <c r="F3" s="97"/>
    </row>
    <row r="4" spans="1:120" ht="30" customHeight="1" x14ac:dyDescent="0.2">
      <c r="A4" s="58" t="s">
        <v>31</v>
      </c>
      <c r="B4" s="106" t="s">
        <v>104</v>
      </c>
      <c r="C4" s="91" t="s">
        <v>8</v>
      </c>
      <c r="D4" s="92"/>
      <c r="E4" s="7">
        <v>1</v>
      </c>
      <c r="I4" s="94">
        <f>I5</f>
        <v>45670</v>
      </c>
      <c r="J4" s="95"/>
      <c r="K4" s="95"/>
      <c r="L4" s="95"/>
      <c r="M4" s="95"/>
      <c r="N4" s="95"/>
      <c r="O4" s="96"/>
      <c r="P4" s="94">
        <f>P5</f>
        <v>45677</v>
      </c>
      <c r="Q4" s="95"/>
      <c r="R4" s="95"/>
      <c r="S4" s="95"/>
      <c r="T4" s="95"/>
      <c r="U4" s="95"/>
      <c r="V4" s="96"/>
      <c r="W4" s="94">
        <f>W5</f>
        <v>45684</v>
      </c>
      <c r="X4" s="95"/>
      <c r="Y4" s="95"/>
      <c r="Z4" s="95"/>
      <c r="AA4" s="95"/>
      <c r="AB4" s="95"/>
      <c r="AC4" s="96"/>
      <c r="AD4" s="94">
        <f>AD5</f>
        <v>45691</v>
      </c>
      <c r="AE4" s="95"/>
      <c r="AF4" s="95"/>
      <c r="AG4" s="95"/>
      <c r="AH4" s="95"/>
      <c r="AI4" s="95"/>
      <c r="AJ4" s="96"/>
      <c r="AK4" s="94">
        <f>AK5</f>
        <v>45698</v>
      </c>
      <c r="AL4" s="95"/>
      <c r="AM4" s="95"/>
      <c r="AN4" s="95"/>
      <c r="AO4" s="95"/>
      <c r="AP4" s="95"/>
      <c r="AQ4" s="96"/>
      <c r="AR4" s="94">
        <f>AR5</f>
        <v>45705</v>
      </c>
      <c r="AS4" s="95"/>
      <c r="AT4" s="95"/>
      <c r="AU4" s="95"/>
      <c r="AV4" s="95"/>
      <c r="AW4" s="95"/>
      <c r="AX4" s="96"/>
      <c r="AY4" s="94">
        <f>AY5</f>
        <v>45712</v>
      </c>
      <c r="AZ4" s="95"/>
      <c r="BA4" s="95"/>
      <c r="BB4" s="95"/>
      <c r="BC4" s="95"/>
      <c r="BD4" s="95"/>
      <c r="BE4" s="96"/>
      <c r="BF4" s="94">
        <f>BF5</f>
        <v>45719</v>
      </c>
      <c r="BG4" s="95"/>
      <c r="BH4" s="95"/>
      <c r="BI4" s="95"/>
      <c r="BJ4" s="95"/>
      <c r="BK4" s="95"/>
      <c r="BL4" s="96"/>
      <c r="BM4" s="94">
        <f>BM5</f>
        <v>45726</v>
      </c>
      <c r="BN4" s="95"/>
      <c r="BO4" s="95"/>
      <c r="BP4" s="95"/>
      <c r="BQ4" s="95"/>
      <c r="BR4" s="95"/>
      <c r="BS4" s="96"/>
      <c r="BT4" s="94">
        <f>BT5</f>
        <v>45733</v>
      </c>
      <c r="BU4" s="95"/>
      <c r="BV4" s="95"/>
      <c r="BW4" s="95"/>
      <c r="BX4" s="95"/>
      <c r="BY4" s="95"/>
      <c r="BZ4" s="96"/>
      <c r="CA4" s="94">
        <f>CA5</f>
        <v>45740</v>
      </c>
      <c r="CB4" s="95"/>
      <c r="CC4" s="95"/>
      <c r="CD4" s="95"/>
      <c r="CE4" s="95"/>
      <c r="CF4" s="95"/>
      <c r="CG4" s="96"/>
      <c r="CH4" s="94">
        <f>CH5</f>
        <v>45747</v>
      </c>
      <c r="CI4" s="95"/>
      <c r="CJ4" s="95"/>
      <c r="CK4" s="95"/>
      <c r="CL4" s="95"/>
      <c r="CM4" s="95"/>
      <c r="CN4" s="96"/>
      <c r="CO4" s="94">
        <f>CO5</f>
        <v>45754</v>
      </c>
      <c r="CP4" s="95"/>
      <c r="CQ4" s="95"/>
      <c r="CR4" s="95"/>
      <c r="CS4" s="95"/>
      <c r="CT4" s="95"/>
      <c r="CU4" s="96"/>
      <c r="CV4" s="94">
        <f>CV5</f>
        <v>45761</v>
      </c>
      <c r="CW4" s="95"/>
      <c r="CX4" s="95"/>
      <c r="CY4" s="95"/>
      <c r="CZ4" s="95"/>
      <c r="DA4" s="95"/>
      <c r="DB4" s="96"/>
      <c r="DC4" s="94">
        <f>DC5</f>
        <v>45768</v>
      </c>
      <c r="DD4" s="95"/>
      <c r="DE4" s="95"/>
      <c r="DF4" s="95"/>
      <c r="DG4" s="95"/>
      <c r="DH4" s="95"/>
      <c r="DI4" s="96"/>
      <c r="DJ4" s="94">
        <f>DJ5</f>
        <v>45775</v>
      </c>
      <c r="DK4" s="95"/>
      <c r="DL4" s="95"/>
      <c r="DM4" s="95"/>
      <c r="DN4" s="95"/>
      <c r="DO4" s="95"/>
      <c r="DP4" s="96"/>
    </row>
    <row r="5" spans="1:120" ht="15" customHeight="1" x14ac:dyDescent="0.2">
      <c r="A5" s="58" t="s">
        <v>32</v>
      </c>
      <c r="B5" s="93"/>
      <c r="C5" s="93"/>
      <c r="D5" s="93"/>
      <c r="E5" s="93"/>
      <c r="F5" s="93"/>
      <c r="G5" s="93"/>
      <c r="I5" s="11">
        <f>Project_Start-WEEKDAY(Project_Start,1)+2+7*(Display_Week-1)</f>
        <v>45670</v>
      </c>
      <c r="J5" s="10">
        <f>I5+1</f>
        <v>45671</v>
      </c>
      <c r="K5" s="10">
        <f t="shared" ref="K5:AX5" si="0">J5+1</f>
        <v>45672</v>
      </c>
      <c r="L5" s="10">
        <f t="shared" si="0"/>
        <v>45673</v>
      </c>
      <c r="M5" s="10">
        <f t="shared" si="0"/>
        <v>45674</v>
      </c>
      <c r="N5" s="10">
        <f t="shared" si="0"/>
        <v>45675</v>
      </c>
      <c r="O5" s="12">
        <f t="shared" si="0"/>
        <v>45676</v>
      </c>
      <c r="P5" s="11">
        <f>O5+1</f>
        <v>45677</v>
      </c>
      <c r="Q5" s="10">
        <f>P5+1</f>
        <v>45678</v>
      </c>
      <c r="R5" s="10">
        <f t="shared" si="0"/>
        <v>45679</v>
      </c>
      <c r="S5" s="10">
        <f t="shared" si="0"/>
        <v>45680</v>
      </c>
      <c r="T5" s="10">
        <f t="shared" si="0"/>
        <v>45681</v>
      </c>
      <c r="U5" s="10">
        <f t="shared" si="0"/>
        <v>45682</v>
      </c>
      <c r="V5" s="12">
        <f t="shared" si="0"/>
        <v>45683</v>
      </c>
      <c r="W5" s="11">
        <f>V5+1</f>
        <v>45684</v>
      </c>
      <c r="X5" s="10">
        <f>W5+1</f>
        <v>45685</v>
      </c>
      <c r="Y5" s="10">
        <f t="shared" si="0"/>
        <v>45686</v>
      </c>
      <c r="Z5" s="10">
        <f t="shared" si="0"/>
        <v>45687</v>
      </c>
      <c r="AA5" s="10">
        <f t="shared" si="0"/>
        <v>45688</v>
      </c>
      <c r="AB5" s="10">
        <f t="shared" si="0"/>
        <v>45689</v>
      </c>
      <c r="AC5" s="12">
        <f t="shared" si="0"/>
        <v>45690</v>
      </c>
      <c r="AD5" s="11">
        <f>AC5+1</f>
        <v>45691</v>
      </c>
      <c r="AE5" s="10">
        <f>AD5+1</f>
        <v>45692</v>
      </c>
      <c r="AF5" s="10">
        <f t="shared" si="0"/>
        <v>45693</v>
      </c>
      <c r="AG5" s="10">
        <f t="shared" si="0"/>
        <v>45694</v>
      </c>
      <c r="AH5" s="10">
        <f t="shared" si="0"/>
        <v>45695</v>
      </c>
      <c r="AI5" s="10">
        <f t="shared" si="0"/>
        <v>45696</v>
      </c>
      <c r="AJ5" s="12">
        <f t="shared" si="0"/>
        <v>45697</v>
      </c>
      <c r="AK5" s="11">
        <f>AJ5+1</f>
        <v>45698</v>
      </c>
      <c r="AL5" s="10">
        <f>AK5+1</f>
        <v>45699</v>
      </c>
      <c r="AM5" s="10">
        <f t="shared" si="0"/>
        <v>45700</v>
      </c>
      <c r="AN5" s="10">
        <f t="shared" si="0"/>
        <v>45701</v>
      </c>
      <c r="AO5" s="10">
        <f t="shared" si="0"/>
        <v>45702</v>
      </c>
      <c r="AP5" s="10">
        <f t="shared" si="0"/>
        <v>45703</v>
      </c>
      <c r="AQ5" s="12">
        <f t="shared" si="0"/>
        <v>45704</v>
      </c>
      <c r="AR5" s="11">
        <f>AQ5+1</f>
        <v>45705</v>
      </c>
      <c r="AS5" s="10">
        <f>AR5+1</f>
        <v>45706</v>
      </c>
      <c r="AT5" s="10">
        <f t="shared" si="0"/>
        <v>45707</v>
      </c>
      <c r="AU5" s="10">
        <f t="shared" si="0"/>
        <v>45708</v>
      </c>
      <c r="AV5" s="10">
        <f t="shared" si="0"/>
        <v>45709</v>
      </c>
      <c r="AW5" s="10">
        <f t="shared" si="0"/>
        <v>45710</v>
      </c>
      <c r="AX5" s="12">
        <f t="shared" si="0"/>
        <v>45711</v>
      </c>
      <c r="AY5" s="11">
        <f>AX5+1</f>
        <v>45712</v>
      </c>
      <c r="AZ5" s="10">
        <f>AY5+1</f>
        <v>45713</v>
      </c>
      <c r="BA5" s="10">
        <f t="shared" ref="BA5:BE5" si="1">AZ5+1</f>
        <v>45714</v>
      </c>
      <c r="BB5" s="10">
        <f t="shared" si="1"/>
        <v>45715</v>
      </c>
      <c r="BC5" s="10">
        <f t="shared" si="1"/>
        <v>45716</v>
      </c>
      <c r="BD5" s="10">
        <f t="shared" si="1"/>
        <v>45717</v>
      </c>
      <c r="BE5" s="12">
        <f t="shared" si="1"/>
        <v>45718</v>
      </c>
      <c r="BF5" s="11">
        <f>BE5+1</f>
        <v>45719</v>
      </c>
      <c r="BG5" s="10">
        <f>BF5+1</f>
        <v>45720</v>
      </c>
      <c r="BH5" s="10">
        <f t="shared" ref="BH5:BL5" si="2">BG5+1</f>
        <v>45721</v>
      </c>
      <c r="BI5" s="10">
        <f t="shared" si="2"/>
        <v>45722</v>
      </c>
      <c r="BJ5" s="10">
        <f t="shared" si="2"/>
        <v>45723</v>
      </c>
      <c r="BK5" s="10">
        <f t="shared" si="2"/>
        <v>45724</v>
      </c>
      <c r="BL5" s="12">
        <f t="shared" si="2"/>
        <v>45725</v>
      </c>
      <c r="BM5" s="11">
        <f>BL5+1</f>
        <v>45726</v>
      </c>
      <c r="BN5" s="10">
        <f>BM5+1</f>
        <v>45727</v>
      </c>
      <c r="BO5" s="10">
        <f t="shared" ref="BO5" si="3">BN5+1</f>
        <v>45728</v>
      </c>
      <c r="BP5" s="10">
        <f t="shared" ref="BP5" si="4">BO5+1</f>
        <v>45729</v>
      </c>
      <c r="BQ5" s="10">
        <f t="shared" ref="BQ5" si="5">BP5+1</f>
        <v>45730</v>
      </c>
      <c r="BR5" s="10">
        <f t="shared" ref="BR5" si="6">BQ5+1</f>
        <v>45731</v>
      </c>
      <c r="BS5" s="12">
        <f t="shared" ref="BS5" si="7">BR5+1</f>
        <v>45732</v>
      </c>
      <c r="BT5" s="11">
        <f>BS5+1</f>
        <v>45733</v>
      </c>
      <c r="BU5" s="10">
        <f>BT5+1</f>
        <v>45734</v>
      </c>
      <c r="BV5" s="10">
        <f t="shared" ref="BV5" si="8">BU5+1</f>
        <v>45735</v>
      </c>
      <c r="BW5" s="10">
        <f t="shared" ref="BW5" si="9">BV5+1</f>
        <v>45736</v>
      </c>
      <c r="BX5" s="10">
        <f t="shared" ref="BX5" si="10">BW5+1</f>
        <v>45737</v>
      </c>
      <c r="BY5" s="10">
        <f t="shared" ref="BY5" si="11">BX5+1</f>
        <v>45738</v>
      </c>
      <c r="BZ5" s="12">
        <f t="shared" ref="BZ5" si="12">BY5+1</f>
        <v>45739</v>
      </c>
      <c r="CA5" s="11">
        <f>BZ5+1</f>
        <v>45740</v>
      </c>
      <c r="CB5" s="10">
        <f>CA5+1</f>
        <v>45741</v>
      </c>
      <c r="CC5" s="10">
        <f t="shared" ref="CC5" si="13">CB5+1</f>
        <v>45742</v>
      </c>
      <c r="CD5" s="10">
        <f t="shared" ref="CD5" si="14">CC5+1</f>
        <v>45743</v>
      </c>
      <c r="CE5" s="10">
        <f t="shared" ref="CE5" si="15">CD5+1</f>
        <v>45744</v>
      </c>
      <c r="CF5" s="10">
        <f t="shared" ref="CF5" si="16">CE5+1</f>
        <v>45745</v>
      </c>
      <c r="CG5" s="12">
        <f t="shared" ref="CG5" si="17">CF5+1</f>
        <v>45746</v>
      </c>
      <c r="CH5" s="11">
        <f>CG5+1</f>
        <v>45747</v>
      </c>
      <c r="CI5" s="10">
        <f>CH5+1</f>
        <v>45748</v>
      </c>
      <c r="CJ5" s="10">
        <f t="shared" ref="CJ5" si="18">CI5+1</f>
        <v>45749</v>
      </c>
      <c r="CK5" s="10">
        <f t="shared" ref="CK5" si="19">CJ5+1</f>
        <v>45750</v>
      </c>
      <c r="CL5" s="10">
        <f t="shared" ref="CL5" si="20">CK5+1</f>
        <v>45751</v>
      </c>
      <c r="CM5" s="10">
        <f t="shared" ref="CM5" si="21">CL5+1</f>
        <v>45752</v>
      </c>
      <c r="CN5" s="12">
        <f t="shared" ref="CN5" si="22">CM5+1</f>
        <v>45753</v>
      </c>
      <c r="CO5" s="11">
        <f>CN5+1</f>
        <v>45754</v>
      </c>
      <c r="CP5" s="10">
        <f>CO5+1</f>
        <v>45755</v>
      </c>
      <c r="CQ5" s="10">
        <f t="shared" ref="CQ5" si="23">CP5+1</f>
        <v>45756</v>
      </c>
      <c r="CR5" s="10">
        <f t="shared" ref="CR5" si="24">CQ5+1</f>
        <v>45757</v>
      </c>
      <c r="CS5" s="10">
        <f t="shared" ref="CS5" si="25">CR5+1</f>
        <v>45758</v>
      </c>
      <c r="CT5" s="10">
        <f t="shared" ref="CT5" si="26">CS5+1</f>
        <v>45759</v>
      </c>
      <c r="CU5" s="12">
        <f t="shared" ref="CU5" si="27">CT5+1</f>
        <v>45760</v>
      </c>
      <c r="CV5" s="11">
        <f>CU5+1</f>
        <v>45761</v>
      </c>
      <c r="CW5" s="10">
        <f>CV5+1</f>
        <v>45762</v>
      </c>
      <c r="CX5" s="10">
        <f t="shared" ref="CX5" si="28">CW5+1</f>
        <v>45763</v>
      </c>
      <c r="CY5" s="10">
        <f t="shared" ref="CY5" si="29">CX5+1</f>
        <v>45764</v>
      </c>
      <c r="CZ5" s="10">
        <f t="shared" ref="CZ5" si="30">CY5+1</f>
        <v>45765</v>
      </c>
      <c r="DA5" s="10">
        <f t="shared" ref="DA5" si="31">CZ5+1</f>
        <v>45766</v>
      </c>
      <c r="DB5" s="12">
        <f t="shared" ref="DB5" si="32">DA5+1</f>
        <v>45767</v>
      </c>
      <c r="DC5" s="11">
        <f>DB5+1</f>
        <v>45768</v>
      </c>
      <c r="DD5" s="10">
        <f>DC5+1</f>
        <v>45769</v>
      </c>
      <c r="DE5" s="10">
        <f t="shared" ref="DE5" si="33">DD5+1</f>
        <v>45770</v>
      </c>
      <c r="DF5" s="10">
        <f t="shared" ref="DF5" si="34">DE5+1</f>
        <v>45771</v>
      </c>
      <c r="DG5" s="10">
        <f t="shared" ref="DG5" si="35">DF5+1</f>
        <v>45772</v>
      </c>
      <c r="DH5" s="10">
        <f t="shared" ref="DH5" si="36">DG5+1</f>
        <v>45773</v>
      </c>
      <c r="DI5" s="12">
        <f t="shared" ref="DI5" si="37">DH5+1</f>
        <v>45774</v>
      </c>
      <c r="DJ5" s="11">
        <f>DI5+1</f>
        <v>45775</v>
      </c>
      <c r="DK5" s="10">
        <f>DJ5+1</f>
        <v>45776</v>
      </c>
      <c r="DL5" s="10">
        <f t="shared" ref="DL5" si="38">DK5+1</f>
        <v>45777</v>
      </c>
      <c r="DM5" s="10">
        <f t="shared" ref="DM5" si="39">DL5+1</f>
        <v>45778</v>
      </c>
      <c r="DN5" s="10">
        <f t="shared" ref="DN5" si="40">DM5+1</f>
        <v>45779</v>
      </c>
      <c r="DO5" s="10">
        <f t="shared" ref="DO5" si="41">DN5+1</f>
        <v>45780</v>
      </c>
      <c r="DP5" s="12">
        <f t="shared" ref="DP5" si="42">DO5+1</f>
        <v>45781</v>
      </c>
    </row>
    <row r="6" spans="1:120" ht="30" customHeight="1" thickBot="1" x14ac:dyDescent="0.25">
      <c r="A6" s="58" t="s">
        <v>33</v>
      </c>
      <c r="B6" s="8" t="s">
        <v>9</v>
      </c>
      <c r="C6" s="9" t="s">
        <v>3</v>
      </c>
      <c r="D6" s="9" t="s">
        <v>2</v>
      </c>
      <c r="E6" s="9" t="s">
        <v>5</v>
      </c>
      <c r="F6" s="9" t="s">
        <v>6</v>
      </c>
      <c r="G6" s="9"/>
      <c r="H6" s="9" t="s">
        <v>7</v>
      </c>
      <c r="I6" s="13" t="str">
        <f t="shared" ref="I6" si="43">LEFT(TEXT(I5,"ddd"),1)</f>
        <v>M</v>
      </c>
      <c r="J6" s="13" t="str">
        <f t="shared" ref="J6:AR6" si="44">LEFT(TEXT(J5,"ddd"),1)</f>
        <v>T</v>
      </c>
      <c r="K6" s="13" t="str">
        <f t="shared" si="44"/>
        <v>W</v>
      </c>
      <c r="L6" s="13" t="str">
        <f t="shared" si="44"/>
        <v>T</v>
      </c>
      <c r="M6" s="13" t="str">
        <f t="shared" si="44"/>
        <v>F</v>
      </c>
      <c r="N6" s="13" t="str">
        <f t="shared" si="44"/>
        <v>S</v>
      </c>
      <c r="O6" s="13" t="str">
        <f t="shared" si="44"/>
        <v>S</v>
      </c>
      <c r="P6" s="13" t="str">
        <f t="shared" si="44"/>
        <v>M</v>
      </c>
      <c r="Q6" s="13" t="str">
        <f t="shared" si="44"/>
        <v>T</v>
      </c>
      <c r="R6" s="13" t="str">
        <f t="shared" si="44"/>
        <v>W</v>
      </c>
      <c r="S6" s="13" t="str">
        <f t="shared" si="44"/>
        <v>T</v>
      </c>
      <c r="T6" s="13" t="str">
        <f t="shared" si="44"/>
        <v>F</v>
      </c>
      <c r="U6" s="13" t="str">
        <f t="shared" si="44"/>
        <v>S</v>
      </c>
      <c r="V6" s="13" t="str">
        <f t="shared" si="44"/>
        <v>S</v>
      </c>
      <c r="W6" s="13" t="str">
        <f t="shared" si="44"/>
        <v>M</v>
      </c>
      <c r="X6" s="13" t="str">
        <f t="shared" si="44"/>
        <v>T</v>
      </c>
      <c r="Y6" s="13" t="str">
        <f t="shared" si="44"/>
        <v>W</v>
      </c>
      <c r="Z6" s="13" t="str">
        <f t="shared" si="44"/>
        <v>T</v>
      </c>
      <c r="AA6" s="13" t="str">
        <f t="shared" si="44"/>
        <v>F</v>
      </c>
      <c r="AB6" s="13" t="str">
        <f t="shared" si="44"/>
        <v>S</v>
      </c>
      <c r="AC6" s="13" t="str">
        <f t="shared" si="44"/>
        <v>S</v>
      </c>
      <c r="AD6" s="13" t="str">
        <f t="shared" si="44"/>
        <v>M</v>
      </c>
      <c r="AE6" s="13" t="str">
        <f t="shared" si="44"/>
        <v>T</v>
      </c>
      <c r="AF6" s="13" t="str">
        <f t="shared" si="44"/>
        <v>W</v>
      </c>
      <c r="AG6" s="13" t="str">
        <f t="shared" si="44"/>
        <v>T</v>
      </c>
      <c r="AH6" s="13" t="str">
        <f t="shared" si="44"/>
        <v>F</v>
      </c>
      <c r="AI6" s="13" t="str">
        <f t="shared" si="44"/>
        <v>S</v>
      </c>
      <c r="AJ6" s="13" t="str">
        <f t="shared" si="44"/>
        <v>S</v>
      </c>
      <c r="AK6" s="13" t="str">
        <f t="shared" si="44"/>
        <v>M</v>
      </c>
      <c r="AL6" s="13" t="str">
        <f t="shared" si="44"/>
        <v>T</v>
      </c>
      <c r="AM6" s="13" t="str">
        <f t="shared" si="44"/>
        <v>W</v>
      </c>
      <c r="AN6" s="13" t="str">
        <f t="shared" si="44"/>
        <v>T</v>
      </c>
      <c r="AO6" s="13" t="str">
        <f t="shared" si="44"/>
        <v>F</v>
      </c>
      <c r="AP6" s="13" t="str">
        <f t="shared" si="44"/>
        <v>S</v>
      </c>
      <c r="AQ6" s="13" t="str">
        <f t="shared" si="44"/>
        <v>S</v>
      </c>
      <c r="AR6" s="13" t="str">
        <f t="shared" si="44"/>
        <v>M</v>
      </c>
      <c r="AS6" s="13" t="str">
        <f t="shared" ref="AS6:BL6" si="45">LEFT(TEXT(AS5,"ddd"),1)</f>
        <v>T</v>
      </c>
      <c r="AT6" s="13" t="str">
        <f t="shared" si="45"/>
        <v>W</v>
      </c>
      <c r="AU6" s="13" t="str">
        <f t="shared" si="45"/>
        <v>T</v>
      </c>
      <c r="AV6" s="13" t="str">
        <f t="shared" si="45"/>
        <v>F</v>
      </c>
      <c r="AW6" s="13" t="str">
        <f t="shared" si="45"/>
        <v>S</v>
      </c>
      <c r="AX6" s="13" t="str">
        <f t="shared" si="45"/>
        <v>S</v>
      </c>
      <c r="AY6" s="13" t="str">
        <f t="shared" si="45"/>
        <v>M</v>
      </c>
      <c r="AZ6" s="13" t="str">
        <f t="shared" si="45"/>
        <v>T</v>
      </c>
      <c r="BA6" s="13" t="str">
        <f t="shared" si="45"/>
        <v>W</v>
      </c>
      <c r="BB6" s="13" t="str">
        <f t="shared" si="45"/>
        <v>T</v>
      </c>
      <c r="BC6" s="13" t="str">
        <f t="shared" si="45"/>
        <v>F</v>
      </c>
      <c r="BD6" s="13" t="str">
        <f t="shared" si="45"/>
        <v>S</v>
      </c>
      <c r="BE6" s="13" t="str">
        <f t="shared" si="45"/>
        <v>S</v>
      </c>
      <c r="BF6" s="13" t="str">
        <f t="shared" si="45"/>
        <v>M</v>
      </c>
      <c r="BG6" s="13" t="str">
        <f t="shared" si="45"/>
        <v>T</v>
      </c>
      <c r="BH6" s="13" t="str">
        <f t="shared" si="45"/>
        <v>W</v>
      </c>
      <c r="BI6" s="13" t="str">
        <f t="shared" si="45"/>
        <v>T</v>
      </c>
      <c r="BJ6" s="13" t="str">
        <f t="shared" si="45"/>
        <v>F</v>
      </c>
      <c r="BK6" s="13" t="str">
        <f t="shared" si="45"/>
        <v>S</v>
      </c>
      <c r="BL6" s="13" t="str">
        <f t="shared" si="45"/>
        <v>S</v>
      </c>
      <c r="BM6" s="13" t="str">
        <f t="shared" ref="BM6:CG6" si="46">LEFT(TEXT(BM5,"ddd"),1)</f>
        <v>M</v>
      </c>
      <c r="BN6" s="13" t="str">
        <f t="shared" si="46"/>
        <v>T</v>
      </c>
      <c r="BO6" s="13" t="str">
        <f t="shared" si="46"/>
        <v>W</v>
      </c>
      <c r="BP6" s="13" t="str">
        <f t="shared" si="46"/>
        <v>T</v>
      </c>
      <c r="BQ6" s="13" t="str">
        <f t="shared" si="46"/>
        <v>F</v>
      </c>
      <c r="BR6" s="13" t="str">
        <f t="shared" si="46"/>
        <v>S</v>
      </c>
      <c r="BS6" s="13" t="str">
        <f t="shared" si="46"/>
        <v>S</v>
      </c>
      <c r="BT6" s="13" t="str">
        <f t="shared" si="46"/>
        <v>M</v>
      </c>
      <c r="BU6" s="13" t="str">
        <f t="shared" si="46"/>
        <v>T</v>
      </c>
      <c r="BV6" s="13" t="str">
        <f t="shared" si="46"/>
        <v>W</v>
      </c>
      <c r="BW6" s="13" t="str">
        <f t="shared" si="46"/>
        <v>T</v>
      </c>
      <c r="BX6" s="13" t="str">
        <f t="shared" si="46"/>
        <v>F</v>
      </c>
      <c r="BY6" s="13" t="str">
        <f t="shared" si="46"/>
        <v>S</v>
      </c>
      <c r="BZ6" s="13" t="str">
        <f t="shared" si="46"/>
        <v>S</v>
      </c>
      <c r="CA6" s="13" t="str">
        <f t="shared" si="46"/>
        <v>M</v>
      </c>
      <c r="CB6" s="13" t="str">
        <f t="shared" si="46"/>
        <v>T</v>
      </c>
      <c r="CC6" s="13" t="str">
        <f t="shared" si="46"/>
        <v>W</v>
      </c>
      <c r="CD6" s="13" t="str">
        <f t="shared" si="46"/>
        <v>T</v>
      </c>
      <c r="CE6" s="13" t="str">
        <f t="shared" si="46"/>
        <v>F</v>
      </c>
      <c r="CF6" s="13" t="str">
        <f t="shared" si="46"/>
        <v>S</v>
      </c>
      <c r="CG6" s="13" t="str">
        <f t="shared" si="46"/>
        <v>S</v>
      </c>
      <c r="CH6" s="13" t="str">
        <f t="shared" ref="CH6:DP6" si="47">LEFT(TEXT(CH5,"ddd"),1)</f>
        <v>M</v>
      </c>
      <c r="CI6" s="13" t="str">
        <f t="shared" si="47"/>
        <v>T</v>
      </c>
      <c r="CJ6" s="13" t="str">
        <f t="shared" si="47"/>
        <v>W</v>
      </c>
      <c r="CK6" s="13" t="str">
        <f t="shared" si="47"/>
        <v>T</v>
      </c>
      <c r="CL6" s="13" t="str">
        <f t="shared" si="47"/>
        <v>F</v>
      </c>
      <c r="CM6" s="13" t="str">
        <f t="shared" si="47"/>
        <v>S</v>
      </c>
      <c r="CN6" s="13" t="str">
        <f t="shared" si="47"/>
        <v>S</v>
      </c>
      <c r="CO6" s="13" t="str">
        <f t="shared" si="47"/>
        <v>M</v>
      </c>
      <c r="CP6" s="13" t="str">
        <f t="shared" si="47"/>
        <v>T</v>
      </c>
      <c r="CQ6" s="13" t="str">
        <f t="shared" si="47"/>
        <v>W</v>
      </c>
      <c r="CR6" s="13" t="str">
        <f t="shared" si="47"/>
        <v>T</v>
      </c>
      <c r="CS6" s="13" t="str">
        <f t="shared" si="47"/>
        <v>F</v>
      </c>
      <c r="CT6" s="13" t="str">
        <f t="shared" si="47"/>
        <v>S</v>
      </c>
      <c r="CU6" s="13" t="str">
        <f t="shared" si="47"/>
        <v>S</v>
      </c>
      <c r="CV6" s="13" t="str">
        <f t="shared" si="47"/>
        <v>M</v>
      </c>
      <c r="CW6" s="13" t="str">
        <f t="shared" si="47"/>
        <v>T</v>
      </c>
      <c r="CX6" s="13" t="str">
        <f t="shared" si="47"/>
        <v>W</v>
      </c>
      <c r="CY6" s="13" t="str">
        <f t="shared" si="47"/>
        <v>T</v>
      </c>
      <c r="CZ6" s="13" t="str">
        <f t="shared" si="47"/>
        <v>F</v>
      </c>
      <c r="DA6" s="13" t="str">
        <f t="shared" si="47"/>
        <v>S</v>
      </c>
      <c r="DB6" s="13" t="str">
        <f t="shared" si="47"/>
        <v>S</v>
      </c>
      <c r="DC6" s="13" t="str">
        <f t="shared" si="47"/>
        <v>M</v>
      </c>
      <c r="DD6" s="13" t="str">
        <f t="shared" si="47"/>
        <v>T</v>
      </c>
      <c r="DE6" s="13" t="str">
        <f t="shared" si="47"/>
        <v>W</v>
      </c>
      <c r="DF6" s="13" t="str">
        <f t="shared" si="47"/>
        <v>T</v>
      </c>
      <c r="DG6" s="13" t="str">
        <f t="shared" si="47"/>
        <v>F</v>
      </c>
      <c r="DH6" s="13" t="str">
        <f t="shared" si="47"/>
        <v>S</v>
      </c>
      <c r="DI6" s="13" t="str">
        <f t="shared" si="47"/>
        <v>S</v>
      </c>
      <c r="DJ6" s="13" t="str">
        <f t="shared" si="47"/>
        <v>M</v>
      </c>
      <c r="DK6" s="13" t="str">
        <f t="shared" si="47"/>
        <v>T</v>
      </c>
      <c r="DL6" s="13" t="str">
        <f t="shared" si="47"/>
        <v>W</v>
      </c>
      <c r="DM6" s="13" t="str">
        <f t="shared" si="47"/>
        <v>T</v>
      </c>
      <c r="DN6" s="13" t="str">
        <f t="shared" si="47"/>
        <v>F</v>
      </c>
      <c r="DO6" s="13" t="str">
        <f t="shared" si="47"/>
        <v>S</v>
      </c>
      <c r="DP6" s="13" t="str">
        <f t="shared" si="47"/>
        <v>S</v>
      </c>
    </row>
    <row r="7" spans="1:120" ht="30" hidden="1" customHeight="1" thickBot="1" x14ac:dyDescent="0.25">
      <c r="A7" s="57" t="s">
        <v>28</v>
      </c>
      <c r="C7" s="61"/>
      <c r="E7"/>
      <c r="H7" t="str">
        <f>IF(OR(ISBLANK(task_start),ISBLANK(task_end)),"",task_end-task_start+1)</f>
        <v/>
      </c>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3"/>
      <c r="CX7" s="43"/>
      <c r="CY7" s="43"/>
      <c r="CZ7" s="43"/>
      <c r="DA7" s="43"/>
      <c r="DB7" s="43"/>
      <c r="DC7" s="43"/>
      <c r="DD7" s="43"/>
      <c r="DE7" s="43"/>
      <c r="DF7" s="43"/>
      <c r="DG7" s="43"/>
      <c r="DH7" s="43"/>
      <c r="DI7" s="43"/>
      <c r="DJ7" s="43"/>
      <c r="DK7" s="43"/>
      <c r="DL7" s="43"/>
      <c r="DM7" s="43"/>
      <c r="DN7" s="43"/>
      <c r="DO7" s="43"/>
      <c r="DP7" s="43"/>
    </row>
    <row r="8" spans="1:120" s="3" customFormat="1" ht="30" customHeight="1" thickBot="1" x14ac:dyDescent="0.25">
      <c r="A8" s="58" t="s">
        <v>34</v>
      </c>
      <c r="B8" s="18" t="s">
        <v>97</v>
      </c>
      <c r="C8" s="68"/>
      <c r="D8" s="19"/>
      <c r="E8" s="20"/>
      <c r="F8" s="21"/>
      <c r="G8" s="17"/>
      <c r="H8" s="17" t="str">
        <f t="shared" ref="H8:H39" si="48">IF(OR(ISBLANK(task_start),ISBLANK(task_end)),"",task_end-task_start+1)</f>
        <v/>
      </c>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3"/>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3"/>
      <c r="CX8" s="43"/>
      <c r="CY8" s="43"/>
      <c r="CZ8" s="43"/>
      <c r="DA8" s="43"/>
      <c r="DB8" s="43"/>
      <c r="DC8" s="43"/>
      <c r="DD8" s="43"/>
      <c r="DE8" s="43"/>
      <c r="DF8" s="43"/>
      <c r="DG8" s="43"/>
      <c r="DH8" s="43"/>
      <c r="DI8" s="43"/>
      <c r="DJ8" s="43"/>
      <c r="DK8" s="43"/>
      <c r="DL8" s="43"/>
      <c r="DM8" s="43"/>
      <c r="DN8" s="43"/>
      <c r="DO8" s="43"/>
      <c r="DP8" s="43"/>
    </row>
    <row r="9" spans="1:120" s="3" customFormat="1" ht="30" customHeight="1" thickBot="1" x14ac:dyDescent="0.25">
      <c r="A9" s="58" t="s">
        <v>35</v>
      </c>
      <c r="B9" s="77" t="s">
        <v>40</v>
      </c>
      <c r="C9" s="69" t="s">
        <v>42</v>
      </c>
      <c r="D9" s="22">
        <v>1</v>
      </c>
      <c r="E9" s="63">
        <f>Project_Start</f>
        <v>45673</v>
      </c>
      <c r="F9" s="63">
        <f>E9+7</f>
        <v>45680</v>
      </c>
      <c r="G9" s="17"/>
      <c r="H9" s="17">
        <f t="shared" si="48"/>
        <v>8</v>
      </c>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3"/>
      <c r="CX9" s="43"/>
      <c r="CY9" s="43"/>
      <c r="CZ9" s="43"/>
      <c r="DA9" s="43"/>
      <c r="DB9" s="43"/>
      <c r="DC9" s="43"/>
      <c r="DD9" s="43"/>
      <c r="DE9" s="43"/>
      <c r="DF9" s="43"/>
      <c r="DG9" s="43"/>
      <c r="DH9" s="43"/>
      <c r="DI9" s="43"/>
      <c r="DJ9" s="43"/>
      <c r="DK9" s="43"/>
      <c r="DL9" s="43"/>
      <c r="DM9" s="43"/>
      <c r="DN9" s="43"/>
      <c r="DO9" s="43"/>
      <c r="DP9" s="43"/>
    </row>
    <row r="10" spans="1:120" s="3" customFormat="1" ht="30" customHeight="1" thickBot="1" x14ac:dyDescent="0.25">
      <c r="A10" s="58" t="s">
        <v>36</v>
      </c>
      <c r="B10" s="77" t="s">
        <v>41</v>
      </c>
      <c r="C10" s="69" t="s">
        <v>42</v>
      </c>
      <c r="D10" s="22">
        <v>1</v>
      </c>
      <c r="E10" s="63">
        <f>F9+1</f>
        <v>45681</v>
      </c>
      <c r="F10" s="63">
        <f>E10+1</f>
        <v>45682</v>
      </c>
      <c r="G10" s="17"/>
      <c r="H10" s="17">
        <f t="shared" si="48"/>
        <v>2</v>
      </c>
      <c r="I10" s="43"/>
      <c r="J10" s="43"/>
      <c r="K10" s="43"/>
      <c r="L10" s="43"/>
      <c r="M10" s="43"/>
      <c r="N10" s="43"/>
      <c r="O10" s="43"/>
      <c r="P10" s="43"/>
      <c r="Q10" s="43"/>
      <c r="R10" s="43"/>
      <c r="S10" s="43"/>
      <c r="T10" s="43"/>
      <c r="U10" s="44"/>
      <c r="V10" s="44"/>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3"/>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3"/>
      <c r="CX10" s="43"/>
      <c r="CY10" s="43"/>
      <c r="CZ10" s="43"/>
      <c r="DA10" s="43"/>
      <c r="DB10" s="43"/>
      <c r="DC10" s="43"/>
      <c r="DD10" s="43"/>
      <c r="DE10" s="43"/>
      <c r="DF10" s="43"/>
      <c r="DG10" s="43"/>
      <c r="DH10" s="43"/>
      <c r="DI10" s="43"/>
      <c r="DJ10" s="43"/>
      <c r="DK10" s="43"/>
      <c r="DL10" s="43"/>
      <c r="DM10" s="43"/>
      <c r="DN10" s="43"/>
      <c r="DO10" s="43"/>
      <c r="DP10" s="43"/>
    </row>
    <row r="11" spans="1:120" s="3" customFormat="1" ht="30" customHeight="1" thickBot="1" x14ac:dyDescent="0.25">
      <c r="A11" s="58"/>
      <c r="B11" s="77" t="s">
        <v>62</v>
      </c>
      <c r="C11" s="69" t="s">
        <v>42</v>
      </c>
      <c r="D11" s="22">
        <v>0.5</v>
      </c>
      <c r="E11" s="63">
        <f>F10</f>
        <v>45682</v>
      </c>
      <c r="F11" s="63">
        <f>E11+6</f>
        <v>45688</v>
      </c>
      <c r="G11" s="17"/>
      <c r="H11" s="17"/>
      <c r="I11" s="43"/>
      <c r="J11" s="43"/>
      <c r="K11" s="43"/>
      <c r="L11" s="43"/>
      <c r="M11" s="43"/>
      <c r="N11" s="43"/>
      <c r="O11" s="43"/>
      <c r="P11" s="43"/>
      <c r="Q11" s="43"/>
      <c r="R11" s="43"/>
      <c r="S11" s="43"/>
      <c r="T11" s="43"/>
      <c r="U11" s="44"/>
      <c r="V11" s="44"/>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3"/>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3"/>
      <c r="CX11" s="43"/>
      <c r="CY11" s="43"/>
      <c r="CZ11" s="43"/>
      <c r="DA11" s="43"/>
      <c r="DB11" s="43"/>
      <c r="DC11" s="43"/>
      <c r="DD11" s="43"/>
      <c r="DE11" s="43"/>
      <c r="DF11" s="43"/>
      <c r="DG11" s="43"/>
      <c r="DH11" s="43"/>
      <c r="DI11" s="43"/>
      <c r="DJ11" s="43"/>
      <c r="DK11" s="43"/>
      <c r="DL11" s="43"/>
      <c r="DM11" s="43"/>
      <c r="DN11" s="43"/>
      <c r="DO11" s="43"/>
      <c r="DP11" s="43"/>
    </row>
    <row r="12" spans="1:120" s="3" customFormat="1" ht="30" customHeight="1" thickBot="1" x14ac:dyDescent="0.25">
      <c r="A12" s="58" t="s">
        <v>37</v>
      </c>
      <c r="B12" s="23" t="s">
        <v>61</v>
      </c>
      <c r="C12" s="70"/>
      <c r="D12" s="24"/>
      <c r="E12" s="25"/>
      <c r="F12" s="26"/>
      <c r="G12" s="17"/>
      <c r="H12" s="17" t="str">
        <f t="shared" si="48"/>
        <v/>
      </c>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3"/>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3"/>
      <c r="CX12" s="43"/>
      <c r="CY12" s="43"/>
      <c r="CZ12" s="43"/>
      <c r="DA12" s="43"/>
      <c r="DB12" s="43"/>
      <c r="DC12" s="43"/>
      <c r="DD12" s="43"/>
      <c r="DE12" s="43"/>
      <c r="DF12" s="43"/>
      <c r="DG12" s="43"/>
      <c r="DH12" s="43"/>
      <c r="DI12" s="43"/>
      <c r="DJ12" s="43"/>
      <c r="DK12" s="43"/>
      <c r="DL12" s="43"/>
      <c r="DM12" s="43"/>
      <c r="DN12" s="43"/>
      <c r="DO12" s="43"/>
      <c r="DP12" s="43"/>
    </row>
    <row r="13" spans="1:120" s="3" customFormat="1" ht="30" customHeight="1" thickBot="1" x14ac:dyDescent="0.25">
      <c r="A13" s="58"/>
      <c r="B13" s="78" t="s">
        <v>63</v>
      </c>
      <c r="C13" s="71" t="s">
        <v>99</v>
      </c>
      <c r="D13" s="27">
        <v>0.9</v>
      </c>
      <c r="E13" s="64">
        <v>45684</v>
      </c>
      <c r="F13" s="64">
        <f>E13+4</f>
        <v>45688</v>
      </c>
      <c r="G13" s="17"/>
      <c r="H13" s="17">
        <f t="shared" si="48"/>
        <v>5</v>
      </c>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c r="BN13" s="43"/>
      <c r="BO13" s="43"/>
      <c r="BP13" s="43"/>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3"/>
      <c r="CX13" s="43"/>
      <c r="CY13" s="43"/>
      <c r="CZ13" s="43"/>
      <c r="DA13" s="43"/>
      <c r="DB13" s="43"/>
      <c r="DC13" s="43"/>
      <c r="DD13" s="43"/>
      <c r="DE13" s="43"/>
      <c r="DF13" s="43"/>
      <c r="DG13" s="43"/>
      <c r="DH13" s="43"/>
      <c r="DI13" s="43"/>
      <c r="DJ13" s="43"/>
      <c r="DK13" s="43"/>
      <c r="DL13" s="43"/>
      <c r="DM13" s="43"/>
      <c r="DN13" s="43"/>
      <c r="DO13" s="43"/>
      <c r="DP13" s="43"/>
    </row>
    <row r="14" spans="1:120" s="3" customFormat="1" ht="30" customHeight="1" thickBot="1" x14ac:dyDescent="0.25">
      <c r="A14" s="57"/>
      <c r="B14" s="78" t="s">
        <v>43</v>
      </c>
      <c r="C14" s="71" t="s">
        <v>98</v>
      </c>
      <c r="D14" s="27">
        <v>0.6</v>
      </c>
      <c r="E14" s="64">
        <v>45684</v>
      </c>
      <c r="F14" s="64">
        <f>E14+12</f>
        <v>45696</v>
      </c>
      <c r="G14" s="17"/>
      <c r="H14" s="17">
        <f t="shared" si="48"/>
        <v>13</v>
      </c>
      <c r="I14" s="43"/>
      <c r="J14" s="43"/>
      <c r="K14" s="43"/>
      <c r="L14" s="43"/>
      <c r="M14" s="43"/>
      <c r="N14" s="43"/>
      <c r="O14" s="43"/>
      <c r="P14" s="43"/>
      <c r="Q14" s="43"/>
      <c r="R14" s="43"/>
      <c r="S14" s="43"/>
      <c r="T14" s="43"/>
      <c r="U14" s="44"/>
      <c r="V14" s="44"/>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3"/>
      <c r="CX14" s="43"/>
      <c r="CY14" s="43"/>
      <c r="CZ14" s="43"/>
      <c r="DA14" s="43"/>
      <c r="DB14" s="43"/>
      <c r="DC14" s="43"/>
      <c r="DD14" s="43"/>
      <c r="DE14" s="43"/>
      <c r="DF14" s="43"/>
      <c r="DG14" s="43"/>
      <c r="DH14" s="43"/>
      <c r="DI14" s="43"/>
      <c r="DJ14" s="43"/>
      <c r="DK14" s="43"/>
      <c r="DL14" s="43"/>
      <c r="DM14" s="43"/>
      <c r="DN14" s="43"/>
      <c r="DO14" s="43"/>
      <c r="DP14" s="43"/>
    </row>
    <row r="15" spans="1:120" s="3" customFormat="1" ht="30" customHeight="1" thickBot="1" x14ac:dyDescent="0.25">
      <c r="A15" s="57"/>
      <c r="B15" s="78" t="s">
        <v>65</v>
      </c>
      <c r="C15" s="71" t="s">
        <v>99</v>
      </c>
      <c r="D15" s="27">
        <v>0.9</v>
      </c>
      <c r="E15" s="64">
        <v>45684</v>
      </c>
      <c r="F15" s="64">
        <f>E15+4</f>
        <v>45688</v>
      </c>
      <c r="G15" s="17"/>
      <c r="H15" s="17">
        <f t="shared" si="48"/>
        <v>5</v>
      </c>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3"/>
      <c r="CX15" s="43"/>
      <c r="CY15" s="43"/>
      <c r="CZ15" s="43"/>
      <c r="DA15" s="43"/>
      <c r="DB15" s="43"/>
      <c r="DC15" s="43"/>
      <c r="DD15" s="43"/>
      <c r="DE15" s="43"/>
      <c r="DF15" s="43"/>
      <c r="DG15" s="43"/>
      <c r="DH15" s="43"/>
      <c r="DI15" s="43"/>
      <c r="DJ15" s="43"/>
      <c r="DK15" s="43"/>
      <c r="DL15" s="43"/>
      <c r="DM15" s="43"/>
      <c r="DN15" s="43"/>
      <c r="DO15" s="43"/>
      <c r="DP15" s="43"/>
    </row>
    <row r="16" spans="1:120" s="3" customFormat="1" ht="30" customHeight="1" thickBot="1" x14ac:dyDescent="0.25">
      <c r="A16" s="57"/>
      <c r="B16" s="78" t="s">
        <v>64</v>
      </c>
      <c r="C16" s="71" t="s">
        <v>42</v>
      </c>
      <c r="D16" s="27"/>
      <c r="E16" s="64">
        <v>45688</v>
      </c>
      <c r="F16" s="64">
        <f>E16+1</f>
        <v>45689</v>
      </c>
      <c r="G16" s="17"/>
      <c r="H16" s="17"/>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3"/>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3"/>
      <c r="CX16" s="43"/>
      <c r="CY16" s="43"/>
      <c r="CZ16" s="43"/>
      <c r="DA16" s="43"/>
      <c r="DB16" s="43"/>
      <c r="DC16" s="43"/>
      <c r="DD16" s="43"/>
      <c r="DE16" s="43"/>
      <c r="DF16" s="43"/>
      <c r="DG16" s="43"/>
      <c r="DH16" s="43"/>
      <c r="DI16" s="43"/>
      <c r="DJ16" s="43"/>
      <c r="DK16" s="43"/>
      <c r="DL16" s="43"/>
      <c r="DM16" s="43"/>
      <c r="DN16" s="43"/>
      <c r="DO16" s="43"/>
      <c r="DP16" s="43"/>
    </row>
    <row r="17" spans="1:120" s="3" customFormat="1" ht="30" customHeight="1" thickBot="1" x14ac:dyDescent="0.25">
      <c r="A17" s="57"/>
      <c r="B17" s="78" t="s">
        <v>49</v>
      </c>
      <c r="C17" s="71" t="s">
        <v>100</v>
      </c>
      <c r="D17" s="27"/>
      <c r="E17" s="64">
        <v>45689</v>
      </c>
      <c r="F17" s="64">
        <f>E17+7</f>
        <v>45696</v>
      </c>
      <c r="G17" s="17"/>
      <c r="H17" s="17">
        <f t="shared" si="48"/>
        <v>8</v>
      </c>
      <c r="I17" s="43"/>
      <c r="J17" s="43"/>
      <c r="K17" s="43"/>
      <c r="L17" s="43"/>
      <c r="M17" s="43"/>
      <c r="N17" s="43"/>
      <c r="O17" s="43"/>
      <c r="P17" s="43"/>
      <c r="Q17" s="43"/>
      <c r="R17" s="43"/>
      <c r="S17" s="43"/>
      <c r="T17" s="43"/>
      <c r="U17" s="43"/>
      <c r="V17" s="43"/>
      <c r="W17" s="43"/>
      <c r="X17" s="43"/>
      <c r="Y17" s="44"/>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C17" s="43"/>
      <c r="CD17" s="43"/>
      <c r="CE17" s="43"/>
      <c r="CF17" s="43"/>
      <c r="CG17" s="43"/>
      <c r="CH17" s="43"/>
      <c r="CI17" s="43"/>
      <c r="CJ17" s="43"/>
      <c r="CK17" s="43"/>
      <c r="CL17" s="43"/>
      <c r="CM17" s="43"/>
      <c r="CN17" s="43"/>
      <c r="CO17" s="43"/>
      <c r="CP17" s="43"/>
      <c r="CQ17" s="43"/>
      <c r="CR17" s="43"/>
      <c r="CS17" s="43"/>
      <c r="CT17" s="43"/>
      <c r="CU17" s="43"/>
      <c r="CV17" s="43"/>
      <c r="CW17" s="43"/>
      <c r="CX17" s="43"/>
      <c r="CY17" s="43"/>
      <c r="CZ17" s="43"/>
      <c r="DA17" s="43"/>
      <c r="DB17" s="43"/>
      <c r="DC17" s="43"/>
      <c r="DD17" s="43"/>
      <c r="DE17" s="43"/>
      <c r="DF17" s="43"/>
      <c r="DG17" s="43"/>
      <c r="DH17" s="43"/>
      <c r="DI17" s="43"/>
      <c r="DJ17" s="43"/>
      <c r="DK17" s="43"/>
      <c r="DL17" s="43"/>
      <c r="DM17" s="43"/>
      <c r="DN17" s="43"/>
      <c r="DO17" s="43"/>
      <c r="DP17" s="43"/>
    </row>
    <row r="18" spans="1:120" s="3" customFormat="1" ht="30" customHeight="1" thickBot="1" x14ac:dyDescent="0.25">
      <c r="A18" s="57" t="s">
        <v>25</v>
      </c>
      <c r="B18" s="28" t="s">
        <v>38</v>
      </c>
      <c r="C18" s="72"/>
      <c r="D18" s="29"/>
      <c r="E18" s="30"/>
      <c r="F18" s="31"/>
      <c r="G18" s="17"/>
      <c r="H18" s="17" t="str">
        <f t="shared" si="48"/>
        <v/>
      </c>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c r="BT18" s="43"/>
      <c r="BU18" s="43"/>
      <c r="BV18" s="43"/>
      <c r="BW18" s="43"/>
      <c r="BX18" s="43"/>
      <c r="BY18" s="43"/>
      <c r="BZ18" s="43"/>
      <c r="CA18" s="43"/>
      <c r="CB18" s="43"/>
      <c r="CC18" s="43"/>
      <c r="CD18" s="43"/>
      <c r="CE18" s="43"/>
      <c r="CF18" s="43"/>
      <c r="CG18" s="43"/>
      <c r="CH18" s="43"/>
      <c r="CI18" s="43"/>
      <c r="CJ18" s="43"/>
      <c r="CK18" s="43"/>
      <c r="CL18" s="43"/>
      <c r="CM18" s="43"/>
      <c r="CN18" s="43"/>
      <c r="CO18" s="43"/>
      <c r="CP18" s="43"/>
      <c r="CQ18" s="43"/>
      <c r="CR18" s="43"/>
      <c r="CS18" s="43"/>
      <c r="CT18" s="43"/>
      <c r="CU18" s="43"/>
      <c r="CV18" s="43"/>
      <c r="CW18" s="43"/>
      <c r="CX18" s="43"/>
      <c r="CY18" s="43"/>
      <c r="CZ18" s="43"/>
      <c r="DA18" s="43"/>
      <c r="DB18" s="43"/>
      <c r="DC18" s="43"/>
      <c r="DD18" s="43"/>
      <c r="DE18" s="43"/>
      <c r="DF18" s="43"/>
      <c r="DG18" s="43"/>
      <c r="DH18" s="43"/>
      <c r="DI18" s="43"/>
      <c r="DJ18" s="43"/>
      <c r="DK18" s="43"/>
      <c r="DL18" s="43"/>
      <c r="DM18" s="43"/>
      <c r="DN18" s="43"/>
      <c r="DO18" s="43"/>
      <c r="DP18" s="43"/>
    </row>
    <row r="19" spans="1:120" s="3" customFormat="1" ht="30" customHeight="1" thickBot="1" x14ac:dyDescent="0.25">
      <c r="A19" s="57"/>
      <c r="B19" s="79" t="s">
        <v>44</v>
      </c>
      <c r="C19" s="73" t="s">
        <v>101</v>
      </c>
      <c r="D19" s="32"/>
      <c r="E19" s="65">
        <v>45693</v>
      </c>
      <c r="F19" s="65">
        <f>E19+9</f>
        <v>45702</v>
      </c>
      <c r="G19" s="17"/>
      <c r="H19" s="17">
        <f t="shared" si="48"/>
        <v>10</v>
      </c>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c r="BX19" s="43"/>
      <c r="BY19" s="43"/>
      <c r="BZ19" s="43"/>
      <c r="CA19" s="43"/>
      <c r="CB19" s="43"/>
      <c r="CC19" s="43"/>
      <c r="CD19" s="43"/>
      <c r="CE19" s="43"/>
      <c r="CF19" s="43"/>
      <c r="CG19" s="43"/>
      <c r="CH19" s="43"/>
      <c r="CI19" s="43"/>
      <c r="CJ19" s="43"/>
      <c r="CK19" s="43"/>
      <c r="CL19" s="43"/>
      <c r="CM19" s="43"/>
      <c r="CN19" s="43"/>
      <c r="CO19" s="43"/>
      <c r="CP19" s="43"/>
      <c r="CQ19" s="43"/>
      <c r="CR19" s="43"/>
      <c r="CS19" s="43"/>
      <c r="CT19" s="43"/>
      <c r="CU19" s="43"/>
      <c r="CV19" s="43"/>
      <c r="CW19" s="43"/>
      <c r="CX19" s="43"/>
      <c r="CY19" s="43"/>
      <c r="CZ19" s="43"/>
      <c r="DA19" s="43"/>
      <c r="DB19" s="43"/>
      <c r="DC19" s="43"/>
      <c r="DD19" s="43"/>
      <c r="DE19" s="43"/>
      <c r="DF19" s="43"/>
      <c r="DG19" s="43"/>
      <c r="DH19" s="43"/>
      <c r="DI19" s="43"/>
      <c r="DJ19" s="43"/>
      <c r="DK19" s="43"/>
      <c r="DL19" s="43"/>
      <c r="DM19" s="43"/>
      <c r="DN19" s="43"/>
      <c r="DO19" s="43"/>
      <c r="DP19" s="43"/>
    </row>
    <row r="20" spans="1:120" s="3" customFormat="1" ht="30" customHeight="1" thickBot="1" x14ac:dyDescent="0.25">
      <c r="A20" s="57"/>
      <c r="B20" s="79" t="s">
        <v>45</v>
      </c>
      <c r="C20" s="73" t="s">
        <v>98</v>
      </c>
      <c r="D20" s="32"/>
      <c r="E20" s="65">
        <v>45691</v>
      </c>
      <c r="F20" s="65">
        <f>E20+11</f>
        <v>45702</v>
      </c>
      <c r="G20" s="17"/>
      <c r="H20" s="17">
        <f t="shared" si="48"/>
        <v>12</v>
      </c>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43"/>
      <c r="BX20" s="43"/>
      <c r="BY20" s="43"/>
      <c r="BZ20" s="43"/>
      <c r="CA20" s="43"/>
      <c r="CB20" s="43"/>
      <c r="CC20" s="43"/>
      <c r="CD20" s="43"/>
      <c r="CE20" s="43"/>
      <c r="CF20" s="43"/>
      <c r="CG20" s="43"/>
      <c r="CH20" s="43"/>
      <c r="CI20" s="43"/>
      <c r="CJ20" s="43"/>
      <c r="CK20" s="43"/>
      <c r="CL20" s="43"/>
      <c r="CM20" s="43"/>
      <c r="CN20" s="43"/>
      <c r="CO20" s="43"/>
      <c r="CP20" s="43"/>
      <c r="CQ20" s="43"/>
      <c r="CR20" s="43"/>
      <c r="CS20" s="43"/>
      <c r="CT20" s="43"/>
      <c r="CU20" s="43"/>
      <c r="CV20" s="43"/>
      <c r="CW20" s="43"/>
      <c r="CX20" s="43"/>
      <c r="CY20" s="43"/>
      <c r="CZ20" s="43"/>
      <c r="DA20" s="43"/>
      <c r="DB20" s="43"/>
      <c r="DC20" s="43"/>
      <c r="DD20" s="43"/>
      <c r="DE20" s="43"/>
      <c r="DF20" s="43"/>
      <c r="DG20" s="43"/>
      <c r="DH20" s="43"/>
      <c r="DI20" s="43"/>
      <c r="DJ20" s="43"/>
      <c r="DK20" s="43"/>
      <c r="DL20" s="43"/>
      <c r="DM20" s="43"/>
      <c r="DN20" s="43"/>
      <c r="DO20" s="43"/>
      <c r="DP20" s="43"/>
    </row>
    <row r="21" spans="1:120" s="3" customFormat="1" ht="30" customHeight="1" thickBot="1" x14ac:dyDescent="0.25">
      <c r="A21" s="57"/>
      <c r="B21" s="79" t="s">
        <v>47</v>
      </c>
      <c r="C21" s="73" t="s">
        <v>102</v>
      </c>
      <c r="D21" s="32"/>
      <c r="E21" s="65">
        <f>F20</f>
        <v>45702</v>
      </c>
      <c r="F21" s="65">
        <f>E21+3</f>
        <v>45705</v>
      </c>
      <c r="G21" s="17"/>
      <c r="H21" s="17">
        <f t="shared" si="48"/>
        <v>4</v>
      </c>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c r="BO21" s="43"/>
      <c r="BP21" s="43"/>
      <c r="BQ21" s="43"/>
      <c r="BR21" s="43"/>
      <c r="BS21" s="43"/>
      <c r="BT21" s="43"/>
      <c r="BU21" s="43"/>
      <c r="BV21" s="43"/>
      <c r="BW21" s="43"/>
      <c r="BX21" s="43"/>
      <c r="BY21" s="43"/>
      <c r="BZ21" s="43"/>
      <c r="CA21" s="43"/>
      <c r="CB21" s="43"/>
      <c r="CC21" s="43"/>
      <c r="CD21" s="43"/>
      <c r="CE21" s="43"/>
      <c r="CF21" s="43"/>
      <c r="CG21" s="43"/>
      <c r="CH21" s="43"/>
      <c r="CI21" s="43"/>
      <c r="CJ21" s="43"/>
      <c r="CK21" s="43"/>
      <c r="CL21" s="43"/>
      <c r="CM21" s="43"/>
      <c r="CN21" s="43"/>
      <c r="CO21" s="43"/>
      <c r="CP21" s="43"/>
      <c r="CQ21" s="43"/>
      <c r="CR21" s="43"/>
      <c r="CS21" s="43"/>
      <c r="CT21" s="43"/>
      <c r="CU21" s="43"/>
      <c r="CV21" s="43"/>
      <c r="CW21" s="43"/>
      <c r="CX21" s="43"/>
      <c r="CY21" s="43"/>
      <c r="CZ21" s="43"/>
      <c r="DA21" s="43"/>
      <c r="DB21" s="43"/>
      <c r="DC21" s="43"/>
      <c r="DD21" s="43"/>
      <c r="DE21" s="43"/>
      <c r="DF21" s="43"/>
      <c r="DG21" s="43"/>
      <c r="DH21" s="43"/>
      <c r="DI21" s="43"/>
      <c r="DJ21" s="43"/>
      <c r="DK21" s="43"/>
      <c r="DL21" s="43"/>
      <c r="DM21" s="43"/>
      <c r="DN21" s="43"/>
      <c r="DO21" s="43"/>
      <c r="DP21" s="43"/>
    </row>
    <row r="22" spans="1:120" s="3" customFormat="1" ht="30" customHeight="1" thickBot="1" x14ac:dyDescent="0.25">
      <c r="A22" s="57"/>
      <c r="B22" s="79" t="s">
        <v>54</v>
      </c>
      <c r="C22" s="73" t="s">
        <v>42</v>
      </c>
      <c r="D22" s="32"/>
      <c r="E22" s="65">
        <v>45702</v>
      </c>
      <c r="F22" s="65">
        <f>E22+1</f>
        <v>45703</v>
      </c>
      <c r="G22" s="17"/>
      <c r="H22" s="17">
        <f t="shared" si="48"/>
        <v>2</v>
      </c>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c r="BM22" s="43"/>
      <c r="BN22" s="43"/>
      <c r="BO22" s="43"/>
      <c r="BP22" s="43"/>
      <c r="BQ22" s="43"/>
      <c r="BR22" s="43"/>
      <c r="BS22" s="43"/>
      <c r="BT22" s="43"/>
      <c r="BU22" s="43"/>
      <c r="BV22" s="43"/>
      <c r="BW22" s="43"/>
      <c r="BX22" s="43"/>
      <c r="BY22" s="43"/>
      <c r="BZ22" s="43"/>
      <c r="CA22" s="43"/>
      <c r="CB22" s="43"/>
      <c r="CC22" s="43"/>
      <c r="CD22" s="43"/>
      <c r="CE22" s="43"/>
      <c r="CF22" s="43"/>
      <c r="CG22" s="43"/>
      <c r="CH22" s="43"/>
      <c r="CI22" s="43"/>
      <c r="CJ22" s="43"/>
      <c r="CK22" s="43"/>
      <c r="CL22" s="43"/>
      <c r="CM22" s="43"/>
      <c r="CN22" s="43"/>
      <c r="CO22" s="43"/>
      <c r="CP22" s="43"/>
      <c r="CQ22" s="43"/>
      <c r="CR22" s="43"/>
      <c r="CS22" s="43"/>
      <c r="CT22" s="43"/>
      <c r="CU22" s="43"/>
      <c r="CV22" s="43"/>
      <c r="CW22" s="43"/>
      <c r="CX22" s="43"/>
      <c r="CY22" s="43"/>
      <c r="CZ22" s="43"/>
      <c r="DA22" s="43"/>
      <c r="DB22" s="43"/>
      <c r="DC22" s="43"/>
      <c r="DD22" s="43"/>
      <c r="DE22" s="43"/>
      <c r="DF22" s="43"/>
      <c r="DG22" s="43"/>
      <c r="DH22" s="43"/>
      <c r="DI22" s="43"/>
      <c r="DJ22" s="43"/>
      <c r="DK22" s="43"/>
      <c r="DL22" s="43"/>
      <c r="DM22" s="43"/>
      <c r="DN22" s="43"/>
      <c r="DO22" s="43"/>
      <c r="DP22" s="43"/>
    </row>
    <row r="23" spans="1:120" s="3" customFormat="1" ht="30" customHeight="1" thickBot="1" x14ac:dyDescent="0.25">
      <c r="A23" s="57"/>
      <c r="B23" s="79" t="s">
        <v>46</v>
      </c>
      <c r="C23" s="73" t="s">
        <v>98</v>
      </c>
      <c r="D23" s="32"/>
      <c r="E23" s="65">
        <v>45706</v>
      </c>
      <c r="F23" s="65">
        <f>E23+3</f>
        <v>45709</v>
      </c>
      <c r="G23" s="17"/>
      <c r="H23" s="17"/>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c r="BM23" s="43"/>
      <c r="BN23" s="43"/>
      <c r="BO23" s="43"/>
      <c r="BP23" s="43"/>
      <c r="BQ23" s="43"/>
      <c r="BR23" s="43"/>
      <c r="BS23" s="43"/>
      <c r="BT23" s="43"/>
      <c r="BU23" s="43"/>
      <c r="BV23" s="43"/>
      <c r="BW23" s="43"/>
      <c r="BX23" s="43"/>
      <c r="BY23" s="43"/>
      <c r="BZ23" s="43"/>
      <c r="CA23" s="43"/>
      <c r="CB23" s="43"/>
      <c r="CC23" s="43"/>
      <c r="CD23" s="43"/>
      <c r="CE23" s="43"/>
      <c r="CF23" s="43"/>
      <c r="CG23" s="43"/>
      <c r="CH23" s="43"/>
      <c r="CI23" s="43"/>
      <c r="CJ23" s="43"/>
      <c r="CK23" s="43"/>
      <c r="CL23" s="43"/>
      <c r="CM23" s="43"/>
      <c r="CN23" s="43"/>
      <c r="CO23" s="43"/>
      <c r="CP23" s="43"/>
      <c r="CQ23" s="43"/>
      <c r="CR23" s="43"/>
      <c r="CS23" s="43"/>
      <c r="CT23" s="43"/>
      <c r="CU23" s="43"/>
      <c r="CV23" s="43"/>
      <c r="CW23" s="43"/>
      <c r="CX23" s="43"/>
      <c r="CY23" s="43"/>
      <c r="CZ23" s="43"/>
      <c r="DA23" s="43"/>
      <c r="DB23" s="43"/>
      <c r="DC23" s="43"/>
      <c r="DD23" s="43"/>
      <c r="DE23" s="43"/>
      <c r="DF23" s="43"/>
      <c r="DG23" s="43"/>
      <c r="DH23" s="43"/>
      <c r="DI23" s="43"/>
      <c r="DJ23" s="43"/>
      <c r="DK23" s="43"/>
      <c r="DL23" s="43"/>
      <c r="DM23" s="43"/>
      <c r="DN23" s="43"/>
      <c r="DO23" s="43"/>
      <c r="DP23" s="43"/>
    </row>
    <row r="24" spans="1:120" s="3" customFormat="1" ht="30" customHeight="1" thickBot="1" x14ac:dyDescent="0.25">
      <c r="A24" s="57"/>
      <c r="B24" s="79" t="s">
        <v>49</v>
      </c>
      <c r="C24" s="73" t="s">
        <v>100</v>
      </c>
      <c r="D24" s="32"/>
      <c r="E24" s="65">
        <f>F23+1</f>
        <v>45710</v>
      </c>
      <c r="F24" s="65">
        <f>E24+4</f>
        <v>45714</v>
      </c>
      <c r="G24" s="17"/>
      <c r="H24" s="17">
        <f t="shared" si="48"/>
        <v>5</v>
      </c>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c r="BM24" s="43"/>
      <c r="BN24" s="43"/>
      <c r="BO24" s="43"/>
      <c r="BP24" s="43"/>
      <c r="BQ24" s="43"/>
      <c r="BR24" s="43"/>
      <c r="BS24" s="43"/>
      <c r="BT24" s="43"/>
      <c r="BU24" s="43"/>
      <c r="BV24" s="43"/>
      <c r="BW24" s="43"/>
      <c r="BX24" s="43"/>
      <c r="BY24" s="43"/>
      <c r="BZ24" s="43"/>
      <c r="CA24" s="43"/>
      <c r="CB24" s="43"/>
      <c r="CC24" s="43"/>
      <c r="CD24" s="43"/>
      <c r="CE24" s="43"/>
      <c r="CF24" s="43"/>
      <c r="CG24" s="43"/>
      <c r="CH24" s="43"/>
      <c r="CI24" s="43"/>
      <c r="CJ24" s="43"/>
      <c r="CK24" s="43"/>
      <c r="CL24" s="43"/>
      <c r="CM24" s="43"/>
      <c r="CN24" s="43"/>
      <c r="CO24" s="43"/>
      <c r="CP24" s="43"/>
      <c r="CQ24" s="43"/>
      <c r="CR24" s="43"/>
      <c r="CS24" s="43"/>
      <c r="CT24" s="43"/>
      <c r="CU24" s="43"/>
      <c r="CV24" s="43"/>
      <c r="CW24" s="43"/>
      <c r="CX24" s="43"/>
      <c r="CY24" s="43"/>
      <c r="CZ24" s="43"/>
      <c r="DA24" s="43"/>
      <c r="DB24" s="43"/>
      <c r="DC24" s="43"/>
      <c r="DD24" s="43"/>
      <c r="DE24" s="43"/>
      <c r="DF24" s="43"/>
      <c r="DG24" s="43"/>
      <c r="DH24" s="43"/>
      <c r="DI24" s="43"/>
      <c r="DJ24" s="43"/>
      <c r="DK24" s="43"/>
      <c r="DL24" s="43"/>
      <c r="DM24" s="43"/>
      <c r="DN24" s="43"/>
      <c r="DO24" s="43"/>
      <c r="DP24" s="43"/>
    </row>
    <row r="25" spans="1:120" s="3" customFormat="1" ht="30" customHeight="1" thickBot="1" x14ac:dyDescent="0.25">
      <c r="A25" s="57" t="s">
        <v>25</v>
      </c>
      <c r="B25" s="86" t="s">
        <v>58</v>
      </c>
      <c r="C25" s="87"/>
      <c r="D25" s="88"/>
      <c r="E25" s="89"/>
      <c r="F25" s="90"/>
      <c r="G25" s="17"/>
      <c r="H25" s="17" t="str">
        <f t="shared" si="48"/>
        <v/>
      </c>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c r="BM25" s="43"/>
      <c r="BN25" s="43"/>
      <c r="BO25" s="43"/>
      <c r="BP25" s="43"/>
      <c r="BQ25" s="43"/>
      <c r="BR25" s="43"/>
      <c r="BS25" s="43"/>
      <c r="BT25" s="43"/>
      <c r="BU25" s="43"/>
      <c r="BV25" s="43"/>
      <c r="BW25" s="43"/>
      <c r="BX25" s="43"/>
      <c r="BY25" s="43"/>
      <c r="BZ25" s="43"/>
      <c r="CA25" s="43"/>
      <c r="CB25" s="43"/>
      <c r="CC25" s="43"/>
      <c r="CD25" s="43"/>
      <c r="CE25" s="43"/>
      <c r="CF25" s="43"/>
      <c r="CG25" s="43"/>
      <c r="CH25" s="43"/>
      <c r="CI25" s="43"/>
      <c r="CJ25" s="43"/>
      <c r="CK25" s="43"/>
      <c r="CL25" s="43"/>
      <c r="CM25" s="43"/>
      <c r="CN25" s="43"/>
      <c r="CO25" s="43"/>
      <c r="CP25" s="43"/>
      <c r="CQ25" s="43"/>
      <c r="CR25" s="43"/>
      <c r="CS25" s="43"/>
      <c r="CT25" s="43"/>
      <c r="CU25" s="43"/>
      <c r="CV25" s="43"/>
      <c r="CW25" s="43"/>
      <c r="CX25" s="43"/>
      <c r="CY25" s="43"/>
      <c r="CZ25" s="43"/>
      <c r="DA25" s="43"/>
      <c r="DB25" s="43"/>
      <c r="DC25" s="43"/>
      <c r="DD25" s="43"/>
      <c r="DE25" s="43"/>
      <c r="DF25" s="43"/>
      <c r="DG25" s="43"/>
      <c r="DH25" s="43"/>
      <c r="DI25" s="43"/>
      <c r="DJ25" s="43"/>
      <c r="DK25" s="43"/>
      <c r="DL25" s="43"/>
      <c r="DM25" s="43"/>
      <c r="DN25" s="43"/>
      <c r="DO25" s="43"/>
      <c r="DP25" s="43"/>
    </row>
    <row r="26" spans="1:120" s="3" customFormat="1" ht="30" customHeight="1" thickBot="1" x14ac:dyDescent="0.25">
      <c r="A26" s="57"/>
      <c r="B26" s="84" t="s">
        <v>48</v>
      </c>
      <c r="C26" s="82" t="s">
        <v>42</v>
      </c>
      <c r="D26" s="83"/>
      <c r="E26" s="85">
        <v>45705</v>
      </c>
      <c r="F26" s="85">
        <f>E26+3</f>
        <v>45708</v>
      </c>
      <c r="G26" s="17"/>
      <c r="H26" s="17">
        <f t="shared" si="48"/>
        <v>4</v>
      </c>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c r="BO26" s="43"/>
      <c r="BP26" s="43"/>
      <c r="BQ26" s="43"/>
      <c r="BR26" s="43"/>
      <c r="BS26" s="43"/>
      <c r="BT26" s="43"/>
      <c r="BU26" s="43"/>
      <c r="BV26" s="43"/>
      <c r="BW26" s="43"/>
      <c r="BX26" s="43"/>
      <c r="BY26" s="43"/>
      <c r="BZ26" s="43"/>
      <c r="CA26" s="43"/>
      <c r="CB26" s="43"/>
      <c r="CC26" s="43"/>
      <c r="CD26" s="43"/>
      <c r="CE26" s="43"/>
      <c r="CF26" s="43"/>
      <c r="CG26" s="43"/>
      <c r="CH26" s="43"/>
      <c r="CI26" s="43"/>
      <c r="CJ26" s="43"/>
      <c r="CK26" s="43"/>
      <c r="CL26" s="43"/>
      <c r="CM26" s="43"/>
      <c r="CN26" s="43"/>
      <c r="CO26" s="43"/>
      <c r="CP26" s="43"/>
      <c r="CQ26" s="43"/>
      <c r="CR26" s="43"/>
      <c r="CS26" s="43"/>
      <c r="CT26" s="43"/>
      <c r="CU26" s="43"/>
      <c r="CV26" s="43"/>
      <c r="CW26" s="43"/>
      <c r="CX26" s="43"/>
      <c r="CY26" s="43"/>
      <c r="CZ26" s="43"/>
      <c r="DA26" s="43"/>
      <c r="DB26" s="43"/>
      <c r="DC26" s="43"/>
      <c r="DD26" s="43"/>
      <c r="DE26" s="43"/>
      <c r="DF26" s="43"/>
      <c r="DG26" s="43"/>
      <c r="DH26" s="43"/>
      <c r="DI26" s="43"/>
      <c r="DJ26" s="43"/>
      <c r="DK26" s="43"/>
      <c r="DL26" s="43"/>
      <c r="DM26" s="43"/>
      <c r="DN26" s="43"/>
      <c r="DO26" s="43"/>
      <c r="DP26" s="43"/>
    </row>
    <row r="27" spans="1:120" s="3" customFormat="1" ht="30" customHeight="1" thickBot="1" x14ac:dyDescent="0.25">
      <c r="A27" s="57"/>
      <c r="B27" s="84" t="s">
        <v>59</v>
      </c>
      <c r="C27" s="82" t="s">
        <v>98</v>
      </c>
      <c r="D27" s="83"/>
      <c r="E27" s="85">
        <f>F26+1</f>
        <v>45709</v>
      </c>
      <c r="F27" s="85">
        <f>E27+15</f>
        <v>45724</v>
      </c>
      <c r="G27" s="17"/>
      <c r="H27" s="17">
        <f t="shared" si="48"/>
        <v>16</v>
      </c>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c r="BU27" s="43"/>
      <c r="BV27" s="43"/>
      <c r="BW27" s="43"/>
      <c r="BX27" s="43"/>
      <c r="BY27" s="43"/>
      <c r="BZ27" s="43"/>
      <c r="CA27" s="43"/>
      <c r="CB27" s="43"/>
      <c r="CC27" s="43"/>
      <c r="CD27" s="43"/>
      <c r="CE27" s="43"/>
      <c r="CF27" s="43"/>
      <c r="CG27" s="43"/>
      <c r="CH27" s="43"/>
      <c r="CI27" s="43"/>
      <c r="CJ27" s="43"/>
      <c r="CK27" s="43"/>
      <c r="CL27" s="43"/>
      <c r="CM27" s="43"/>
      <c r="CN27" s="43"/>
      <c r="CO27" s="43"/>
      <c r="CP27" s="43"/>
      <c r="CQ27" s="43"/>
      <c r="CR27" s="43"/>
      <c r="CS27" s="43"/>
      <c r="CT27" s="43"/>
      <c r="CU27" s="43"/>
      <c r="CV27" s="43"/>
      <c r="CW27" s="43"/>
      <c r="CX27" s="43"/>
      <c r="CY27" s="43"/>
      <c r="CZ27" s="43"/>
      <c r="DA27" s="43"/>
      <c r="DB27" s="43"/>
      <c r="DC27" s="43"/>
      <c r="DD27" s="43"/>
      <c r="DE27" s="43"/>
      <c r="DF27" s="43"/>
      <c r="DG27" s="43"/>
      <c r="DH27" s="43"/>
      <c r="DI27" s="43"/>
      <c r="DJ27" s="43"/>
      <c r="DK27" s="43"/>
      <c r="DL27" s="43"/>
      <c r="DM27" s="43"/>
      <c r="DN27" s="43"/>
      <c r="DO27" s="43"/>
      <c r="DP27" s="43"/>
    </row>
    <row r="28" spans="1:120" s="3" customFormat="1" ht="30" customHeight="1" thickBot="1" x14ac:dyDescent="0.25">
      <c r="A28" s="57"/>
      <c r="B28" s="84" t="s">
        <v>50</v>
      </c>
      <c r="C28" s="82" t="s">
        <v>98</v>
      </c>
      <c r="D28" s="83"/>
      <c r="E28" s="85">
        <f t="shared" ref="E28:E30" si="49">F27+1</f>
        <v>45725</v>
      </c>
      <c r="F28" s="85">
        <f t="shared" ref="F28:F31" si="50">E28+4</f>
        <v>45729</v>
      </c>
      <c r="G28" s="17"/>
      <c r="H28" s="17">
        <f t="shared" si="48"/>
        <v>5</v>
      </c>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c r="BM28" s="43"/>
      <c r="BN28" s="43"/>
      <c r="BO28" s="43"/>
      <c r="BP28" s="43"/>
      <c r="BQ28" s="43"/>
      <c r="BR28" s="43"/>
      <c r="BS28" s="43"/>
      <c r="BT28" s="43"/>
      <c r="BU28" s="43"/>
      <c r="BV28" s="43"/>
      <c r="BW28" s="43"/>
      <c r="BX28" s="43"/>
      <c r="BY28" s="43"/>
      <c r="BZ28" s="43"/>
      <c r="CA28" s="43"/>
      <c r="CB28" s="43"/>
      <c r="CC28" s="43"/>
      <c r="CD28" s="43"/>
      <c r="CE28" s="43"/>
      <c r="CF28" s="43"/>
      <c r="CG28" s="43"/>
      <c r="CH28" s="43"/>
      <c r="CI28" s="43"/>
      <c r="CJ28" s="43"/>
      <c r="CK28" s="43"/>
      <c r="CL28" s="43"/>
      <c r="CM28" s="43"/>
      <c r="CN28" s="43"/>
      <c r="CO28" s="43"/>
      <c r="CP28" s="43"/>
      <c r="CQ28" s="43"/>
      <c r="CR28" s="43"/>
      <c r="CS28" s="43"/>
      <c r="CT28" s="43"/>
      <c r="CU28" s="43"/>
      <c r="CV28" s="43"/>
      <c r="CW28" s="43"/>
      <c r="CX28" s="43"/>
      <c r="CY28" s="43"/>
      <c r="CZ28" s="43"/>
      <c r="DA28" s="43"/>
      <c r="DB28" s="43"/>
      <c r="DC28" s="43"/>
      <c r="DD28" s="43"/>
      <c r="DE28" s="43"/>
      <c r="DF28" s="43"/>
      <c r="DG28" s="43"/>
      <c r="DH28" s="43"/>
      <c r="DI28" s="43"/>
      <c r="DJ28" s="43"/>
      <c r="DK28" s="43"/>
      <c r="DL28" s="43"/>
      <c r="DM28" s="43"/>
      <c r="DN28" s="43"/>
      <c r="DO28" s="43"/>
      <c r="DP28" s="43"/>
    </row>
    <row r="29" spans="1:120" s="3" customFormat="1" ht="30" customHeight="1" thickBot="1" x14ac:dyDescent="0.25">
      <c r="A29" s="57"/>
      <c r="B29" s="84" t="s">
        <v>60</v>
      </c>
      <c r="C29" s="82" t="s">
        <v>42</v>
      </c>
      <c r="D29" s="83"/>
      <c r="E29" s="85">
        <f t="shared" si="49"/>
        <v>45730</v>
      </c>
      <c r="F29" s="85">
        <f>E29+2</f>
        <v>45732</v>
      </c>
      <c r="G29" s="17"/>
      <c r="H29" s="17">
        <f t="shared" si="48"/>
        <v>3</v>
      </c>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c r="BM29" s="43"/>
      <c r="BN29" s="43"/>
      <c r="BO29" s="43"/>
      <c r="BP29" s="43"/>
      <c r="BQ29" s="43"/>
      <c r="BR29" s="43"/>
      <c r="BS29" s="43"/>
      <c r="BT29" s="43"/>
      <c r="BU29" s="43"/>
      <c r="BV29" s="43"/>
      <c r="BW29" s="43"/>
      <c r="BX29" s="43"/>
      <c r="BY29" s="43"/>
      <c r="BZ29" s="43"/>
      <c r="CA29" s="43"/>
      <c r="CB29" s="43"/>
      <c r="CC29" s="43"/>
      <c r="CD29" s="43"/>
      <c r="CE29" s="43"/>
      <c r="CF29" s="43"/>
      <c r="CG29" s="43"/>
      <c r="CH29" s="43"/>
      <c r="CI29" s="43"/>
      <c r="CJ29" s="43"/>
      <c r="CK29" s="43"/>
      <c r="CL29" s="43"/>
      <c r="CM29" s="43"/>
      <c r="CN29" s="43"/>
      <c r="CO29" s="43"/>
      <c r="CP29" s="43"/>
      <c r="CQ29" s="43"/>
      <c r="CR29" s="43"/>
      <c r="CS29" s="43"/>
      <c r="CT29" s="43"/>
      <c r="CU29" s="43"/>
      <c r="CV29" s="43"/>
      <c r="CW29" s="43"/>
      <c r="CX29" s="43"/>
      <c r="CY29" s="43"/>
      <c r="CZ29" s="43"/>
      <c r="DA29" s="43"/>
      <c r="DB29" s="43"/>
      <c r="DC29" s="43"/>
      <c r="DD29" s="43"/>
      <c r="DE29" s="43"/>
      <c r="DF29" s="43"/>
      <c r="DG29" s="43"/>
      <c r="DH29" s="43"/>
      <c r="DI29" s="43"/>
      <c r="DJ29" s="43"/>
      <c r="DK29" s="43"/>
      <c r="DL29" s="43"/>
      <c r="DM29" s="43"/>
      <c r="DN29" s="43"/>
      <c r="DO29" s="43"/>
      <c r="DP29" s="43"/>
    </row>
    <row r="30" spans="1:120" s="3" customFormat="1" ht="30" customHeight="1" thickBot="1" x14ac:dyDescent="0.25">
      <c r="A30" s="57"/>
      <c r="B30" s="84" t="s">
        <v>51</v>
      </c>
      <c r="C30" s="82" t="s">
        <v>102</v>
      </c>
      <c r="D30" s="83"/>
      <c r="E30" s="85">
        <f t="shared" si="49"/>
        <v>45733</v>
      </c>
      <c r="F30" s="85">
        <f t="shared" si="50"/>
        <v>45737</v>
      </c>
      <c r="G30" s="17"/>
      <c r="H30" s="17"/>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c r="BM30" s="43"/>
      <c r="BN30" s="43"/>
      <c r="BO30" s="43"/>
      <c r="BP30" s="43"/>
      <c r="BQ30" s="43"/>
      <c r="BR30" s="43"/>
      <c r="BS30" s="43"/>
      <c r="BT30" s="43"/>
      <c r="BU30" s="43"/>
      <c r="BV30" s="43"/>
      <c r="BW30" s="43"/>
      <c r="BX30" s="43"/>
      <c r="BY30" s="43"/>
      <c r="BZ30" s="43"/>
      <c r="CA30" s="43"/>
      <c r="CB30" s="43"/>
      <c r="CC30" s="43"/>
      <c r="CD30" s="43"/>
      <c r="CE30" s="43"/>
      <c r="CF30" s="43"/>
      <c r="CG30" s="43"/>
      <c r="CH30" s="43"/>
      <c r="CI30" s="43"/>
      <c r="CJ30" s="43"/>
      <c r="CK30" s="43"/>
      <c r="CL30" s="43"/>
      <c r="CM30" s="43"/>
      <c r="CN30" s="43"/>
      <c r="CO30" s="43"/>
      <c r="CP30" s="43"/>
      <c r="CQ30" s="43"/>
      <c r="CR30" s="43"/>
      <c r="CS30" s="43"/>
      <c r="CT30" s="43"/>
      <c r="CU30" s="43"/>
      <c r="CV30" s="43"/>
      <c r="CW30" s="43"/>
      <c r="CX30" s="43"/>
      <c r="CY30" s="43"/>
      <c r="CZ30" s="43"/>
      <c r="DA30" s="43"/>
      <c r="DB30" s="43"/>
      <c r="DC30" s="43"/>
      <c r="DD30" s="43"/>
      <c r="DE30" s="43"/>
      <c r="DF30" s="43"/>
      <c r="DG30" s="43"/>
      <c r="DH30" s="43"/>
      <c r="DI30" s="43"/>
      <c r="DJ30" s="43"/>
      <c r="DK30" s="43"/>
      <c r="DL30" s="43"/>
      <c r="DM30" s="43"/>
      <c r="DN30" s="43"/>
      <c r="DO30" s="43"/>
      <c r="DP30" s="43"/>
    </row>
    <row r="31" spans="1:120" s="3" customFormat="1" ht="30" customHeight="1" thickBot="1" x14ac:dyDescent="0.25">
      <c r="A31" s="57"/>
      <c r="B31" s="84" t="s">
        <v>49</v>
      </c>
      <c r="C31" s="82" t="s">
        <v>100</v>
      </c>
      <c r="D31" s="83"/>
      <c r="E31" s="85">
        <f>F29+1</f>
        <v>45733</v>
      </c>
      <c r="F31" s="85">
        <f>E31+8</f>
        <v>45741</v>
      </c>
      <c r="G31" s="17"/>
      <c r="H31" s="17">
        <f t="shared" si="48"/>
        <v>9</v>
      </c>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c r="BM31" s="43"/>
      <c r="BN31" s="43"/>
      <c r="BO31" s="43"/>
      <c r="BP31" s="43"/>
      <c r="BQ31" s="43"/>
      <c r="BR31" s="43"/>
      <c r="BS31" s="43"/>
      <c r="BT31" s="43"/>
      <c r="BU31" s="43"/>
      <c r="BV31" s="43"/>
      <c r="BW31" s="43"/>
      <c r="BX31" s="43"/>
      <c r="BY31" s="43"/>
      <c r="BZ31" s="43"/>
      <c r="CA31" s="43"/>
      <c r="CB31" s="43"/>
      <c r="CC31" s="43"/>
      <c r="CD31" s="43"/>
      <c r="CE31" s="43"/>
      <c r="CF31" s="43"/>
      <c r="CG31" s="43"/>
      <c r="CH31" s="43"/>
      <c r="CI31" s="43"/>
      <c r="CJ31" s="43"/>
      <c r="CK31" s="43"/>
      <c r="CL31" s="43"/>
      <c r="CM31" s="43"/>
      <c r="CN31" s="43"/>
      <c r="CO31" s="43"/>
      <c r="CP31" s="43"/>
      <c r="CQ31" s="43"/>
      <c r="CR31" s="43"/>
      <c r="CS31" s="43"/>
      <c r="CT31" s="43"/>
      <c r="CU31" s="43"/>
      <c r="CV31" s="43"/>
      <c r="CW31" s="43"/>
      <c r="CX31" s="43"/>
      <c r="CY31" s="43"/>
      <c r="CZ31" s="43"/>
      <c r="DA31" s="43"/>
      <c r="DB31" s="43"/>
      <c r="DC31" s="43"/>
      <c r="DD31" s="43"/>
      <c r="DE31" s="43"/>
      <c r="DF31" s="43"/>
      <c r="DG31" s="43"/>
      <c r="DH31" s="43"/>
      <c r="DI31" s="43"/>
      <c r="DJ31" s="43"/>
      <c r="DK31" s="43"/>
      <c r="DL31" s="43"/>
      <c r="DM31" s="43"/>
      <c r="DN31" s="43"/>
      <c r="DO31" s="43"/>
      <c r="DP31" s="43"/>
    </row>
    <row r="32" spans="1:120" s="3" customFormat="1" ht="30" customHeight="1" thickBot="1" x14ac:dyDescent="0.25">
      <c r="A32" s="57" t="s">
        <v>25</v>
      </c>
      <c r="B32" s="33" t="s">
        <v>39</v>
      </c>
      <c r="C32" s="74"/>
      <c r="D32" s="34"/>
      <c r="E32" s="35"/>
      <c r="F32" s="36"/>
      <c r="G32" s="17"/>
      <c r="H32" s="17" t="str">
        <f t="shared" si="48"/>
        <v/>
      </c>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c r="BN32" s="43"/>
      <c r="BO32" s="43"/>
      <c r="BP32" s="43"/>
      <c r="BQ32" s="43"/>
      <c r="BR32" s="43"/>
      <c r="BS32" s="43"/>
      <c r="BT32" s="43"/>
      <c r="BU32" s="43"/>
      <c r="BV32" s="43"/>
      <c r="BW32" s="43"/>
      <c r="BX32" s="43"/>
      <c r="BY32" s="43"/>
      <c r="BZ32" s="43"/>
      <c r="CA32" s="43"/>
      <c r="CB32" s="43"/>
      <c r="CC32" s="43"/>
      <c r="CD32" s="43"/>
      <c r="CE32" s="43"/>
      <c r="CF32" s="43"/>
      <c r="CG32" s="43"/>
      <c r="CH32" s="43"/>
      <c r="CI32" s="43"/>
      <c r="CJ32" s="43"/>
      <c r="CK32" s="43"/>
      <c r="CL32" s="43"/>
      <c r="CM32" s="43"/>
      <c r="CN32" s="43"/>
      <c r="CO32" s="43"/>
      <c r="CP32" s="43"/>
      <c r="CQ32" s="43"/>
      <c r="CR32" s="43"/>
      <c r="CS32" s="43"/>
      <c r="CT32" s="43"/>
      <c r="CU32" s="43"/>
      <c r="CV32" s="43"/>
      <c r="CW32" s="43"/>
      <c r="CX32" s="43"/>
      <c r="CY32" s="43"/>
      <c r="CZ32" s="43"/>
      <c r="DA32" s="43"/>
      <c r="DB32" s="43"/>
      <c r="DC32" s="43"/>
      <c r="DD32" s="43"/>
      <c r="DE32" s="43"/>
      <c r="DF32" s="43"/>
      <c r="DG32" s="43"/>
      <c r="DH32" s="43"/>
      <c r="DI32" s="43"/>
      <c r="DJ32" s="43"/>
      <c r="DK32" s="43"/>
      <c r="DL32" s="43"/>
      <c r="DM32" s="43"/>
      <c r="DN32" s="43"/>
      <c r="DO32" s="43"/>
      <c r="DP32" s="43"/>
    </row>
    <row r="33" spans="1:120" s="3" customFormat="1" ht="30" customHeight="1" thickBot="1" x14ac:dyDescent="0.25">
      <c r="A33" s="57"/>
      <c r="B33" s="80" t="s">
        <v>52</v>
      </c>
      <c r="C33" s="75" t="s">
        <v>100</v>
      </c>
      <c r="D33" s="37"/>
      <c r="E33" s="66">
        <f>F27+1</f>
        <v>45725</v>
      </c>
      <c r="F33" s="66">
        <f>E33+20</f>
        <v>45745</v>
      </c>
      <c r="G33" s="17"/>
      <c r="H33" s="17">
        <f t="shared" si="48"/>
        <v>21</v>
      </c>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c r="BH33" s="43"/>
      <c r="BI33" s="43"/>
      <c r="BJ33" s="43"/>
      <c r="BK33" s="43"/>
      <c r="BL33" s="43"/>
      <c r="BM33" s="43"/>
      <c r="BN33" s="43"/>
      <c r="BO33" s="43"/>
      <c r="BP33" s="43"/>
      <c r="BQ33" s="43"/>
      <c r="BR33" s="43"/>
      <c r="BS33" s="43"/>
      <c r="BT33" s="43"/>
      <c r="BU33" s="43"/>
      <c r="BV33" s="43"/>
      <c r="BW33" s="43"/>
      <c r="BX33" s="43"/>
      <c r="BY33" s="43"/>
      <c r="BZ33" s="43"/>
      <c r="CA33" s="43"/>
      <c r="CB33" s="43"/>
      <c r="CC33" s="43"/>
      <c r="CD33" s="43"/>
      <c r="CE33" s="43"/>
      <c r="CF33" s="43"/>
      <c r="CG33" s="43"/>
      <c r="CH33" s="43"/>
      <c r="CI33" s="43"/>
      <c r="CJ33" s="43"/>
      <c r="CK33" s="43"/>
      <c r="CL33" s="43"/>
      <c r="CM33" s="43"/>
      <c r="CN33" s="43"/>
      <c r="CO33" s="43"/>
      <c r="CP33" s="43"/>
      <c r="CQ33" s="43"/>
      <c r="CR33" s="43"/>
      <c r="CS33" s="43"/>
      <c r="CT33" s="43"/>
      <c r="CU33" s="43"/>
      <c r="CV33" s="43"/>
      <c r="CW33" s="43"/>
      <c r="CX33" s="43"/>
      <c r="CY33" s="43"/>
      <c r="CZ33" s="43"/>
      <c r="DA33" s="43"/>
      <c r="DB33" s="43"/>
      <c r="DC33" s="43"/>
      <c r="DD33" s="43"/>
      <c r="DE33" s="43"/>
      <c r="DF33" s="43"/>
      <c r="DG33" s="43"/>
      <c r="DH33" s="43"/>
      <c r="DI33" s="43"/>
      <c r="DJ33" s="43"/>
      <c r="DK33" s="43"/>
      <c r="DL33" s="43"/>
      <c r="DM33" s="43"/>
      <c r="DN33" s="43"/>
      <c r="DO33" s="43"/>
      <c r="DP33" s="43"/>
    </row>
    <row r="34" spans="1:120" s="3" customFormat="1" ht="30" customHeight="1" thickBot="1" x14ac:dyDescent="0.25">
      <c r="A34" s="57"/>
      <c r="B34" s="80" t="s">
        <v>53</v>
      </c>
      <c r="C34" s="75" t="s">
        <v>103</v>
      </c>
      <c r="D34" s="37"/>
      <c r="E34" s="66">
        <f>F33+1</f>
        <v>45746</v>
      </c>
      <c r="F34" s="66">
        <f t="shared" ref="F34:F37" si="51">E34+4</f>
        <v>45750</v>
      </c>
      <c r="G34" s="17"/>
      <c r="H34" s="17">
        <f t="shared" si="48"/>
        <v>5</v>
      </c>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3"/>
      <c r="BK34" s="43"/>
      <c r="BL34" s="43"/>
      <c r="BM34" s="43"/>
      <c r="BN34" s="43"/>
      <c r="BO34" s="43"/>
      <c r="BP34" s="43"/>
      <c r="BQ34" s="43"/>
      <c r="BR34" s="43"/>
      <c r="BS34" s="43"/>
      <c r="BT34" s="43"/>
      <c r="BU34" s="43"/>
      <c r="BV34" s="43"/>
      <c r="BW34" s="43"/>
      <c r="BX34" s="43"/>
      <c r="BY34" s="43"/>
      <c r="BZ34" s="43"/>
      <c r="CA34" s="43"/>
      <c r="CB34" s="43"/>
      <c r="CC34" s="43"/>
      <c r="CD34" s="43"/>
      <c r="CE34" s="43"/>
      <c r="CF34" s="43"/>
      <c r="CG34" s="43"/>
      <c r="CH34" s="43"/>
      <c r="CI34" s="43"/>
      <c r="CJ34" s="43"/>
      <c r="CK34" s="43"/>
      <c r="CL34" s="43"/>
      <c r="CM34" s="43"/>
      <c r="CN34" s="43"/>
      <c r="CO34" s="43"/>
      <c r="CP34" s="43"/>
      <c r="CQ34" s="43"/>
      <c r="CR34" s="43"/>
      <c r="CS34" s="43"/>
      <c r="CT34" s="43"/>
      <c r="CU34" s="43"/>
      <c r="CV34" s="43"/>
      <c r="CW34" s="43"/>
      <c r="CX34" s="43"/>
      <c r="CY34" s="43"/>
      <c r="CZ34" s="43"/>
      <c r="DA34" s="43"/>
      <c r="DB34" s="43"/>
      <c r="DC34" s="43"/>
      <c r="DD34" s="43"/>
      <c r="DE34" s="43"/>
      <c r="DF34" s="43"/>
      <c r="DG34" s="43"/>
      <c r="DH34" s="43"/>
      <c r="DI34" s="43"/>
      <c r="DJ34" s="43"/>
      <c r="DK34" s="43"/>
      <c r="DL34" s="43"/>
      <c r="DM34" s="43"/>
      <c r="DN34" s="43"/>
      <c r="DO34" s="43"/>
      <c r="DP34" s="43"/>
    </row>
    <row r="35" spans="1:120" s="3" customFormat="1" ht="30" customHeight="1" thickBot="1" x14ac:dyDescent="0.25">
      <c r="A35" s="57"/>
      <c r="B35" s="80" t="s">
        <v>55</v>
      </c>
      <c r="C35" s="75" t="s">
        <v>100</v>
      </c>
      <c r="D35" s="37"/>
      <c r="E35" s="66">
        <f t="shared" ref="E35:E37" si="52">F34+1</f>
        <v>45751</v>
      </c>
      <c r="F35" s="66">
        <f t="shared" si="51"/>
        <v>45755</v>
      </c>
      <c r="G35" s="17"/>
      <c r="H35" s="17">
        <f t="shared" si="48"/>
        <v>5</v>
      </c>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43"/>
      <c r="BK35" s="43"/>
      <c r="BL35" s="43"/>
      <c r="BM35" s="43"/>
      <c r="BN35" s="43"/>
      <c r="BO35" s="43"/>
      <c r="BP35" s="43"/>
      <c r="BQ35" s="43"/>
      <c r="BR35" s="43"/>
      <c r="BS35" s="43"/>
      <c r="BT35" s="43"/>
      <c r="BU35" s="43"/>
      <c r="BV35" s="43"/>
      <c r="BW35" s="43"/>
      <c r="BX35" s="43"/>
      <c r="BY35" s="43"/>
      <c r="BZ35" s="43"/>
      <c r="CA35" s="43"/>
      <c r="CB35" s="43"/>
      <c r="CC35" s="43"/>
      <c r="CD35" s="43"/>
      <c r="CE35" s="43"/>
      <c r="CF35" s="43"/>
      <c r="CG35" s="43"/>
      <c r="CH35" s="43"/>
      <c r="CI35" s="43"/>
      <c r="CJ35" s="43"/>
      <c r="CK35" s="43"/>
      <c r="CL35" s="43"/>
      <c r="CM35" s="43"/>
      <c r="CN35" s="43"/>
      <c r="CO35" s="43"/>
      <c r="CP35" s="43"/>
      <c r="CQ35" s="43"/>
      <c r="CR35" s="43"/>
      <c r="CS35" s="43"/>
      <c r="CT35" s="43"/>
      <c r="CU35" s="43"/>
      <c r="CV35" s="43"/>
      <c r="CW35" s="43"/>
      <c r="CX35" s="43"/>
      <c r="CY35" s="43"/>
      <c r="CZ35" s="43"/>
      <c r="DA35" s="43"/>
      <c r="DB35" s="43"/>
      <c r="DC35" s="43"/>
      <c r="DD35" s="43"/>
      <c r="DE35" s="43"/>
      <c r="DF35" s="43"/>
      <c r="DG35" s="43"/>
      <c r="DH35" s="43"/>
      <c r="DI35" s="43"/>
      <c r="DJ35" s="43"/>
      <c r="DK35" s="43"/>
      <c r="DL35" s="43"/>
      <c r="DM35" s="43"/>
      <c r="DN35" s="43"/>
      <c r="DO35" s="43"/>
      <c r="DP35" s="43"/>
    </row>
    <row r="36" spans="1:120" s="3" customFormat="1" ht="30" customHeight="1" thickBot="1" x14ac:dyDescent="0.25">
      <c r="A36" s="57"/>
      <c r="B36" s="80" t="s">
        <v>56</v>
      </c>
      <c r="C36" s="75" t="s">
        <v>42</v>
      </c>
      <c r="D36" s="37"/>
      <c r="E36" s="66">
        <f t="shared" si="52"/>
        <v>45756</v>
      </c>
      <c r="F36" s="66">
        <f t="shared" si="51"/>
        <v>45760</v>
      </c>
      <c r="G36" s="17"/>
      <c r="H36" s="17">
        <f t="shared" si="48"/>
        <v>5</v>
      </c>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c r="BM36" s="43"/>
      <c r="BN36" s="43"/>
      <c r="BO36" s="43"/>
      <c r="BP36" s="43"/>
      <c r="BQ36" s="43"/>
      <c r="BR36" s="43"/>
      <c r="BS36" s="43"/>
      <c r="BT36" s="43"/>
      <c r="BU36" s="43"/>
      <c r="BV36" s="43"/>
      <c r="BW36" s="43"/>
      <c r="BX36" s="43"/>
      <c r="BY36" s="43"/>
      <c r="BZ36" s="43"/>
      <c r="CA36" s="43"/>
      <c r="CB36" s="43"/>
      <c r="CC36" s="43"/>
      <c r="CD36" s="43"/>
      <c r="CE36" s="43"/>
      <c r="CF36" s="43"/>
      <c r="CG36" s="43"/>
      <c r="CH36" s="43"/>
      <c r="CI36" s="43"/>
      <c r="CJ36" s="43"/>
      <c r="CK36" s="43"/>
      <c r="CL36" s="43"/>
      <c r="CM36" s="43"/>
      <c r="CN36" s="43"/>
      <c r="CO36" s="43"/>
      <c r="CP36" s="43"/>
      <c r="CQ36" s="43"/>
      <c r="CR36" s="43"/>
      <c r="CS36" s="43"/>
      <c r="CT36" s="43"/>
      <c r="CU36" s="43"/>
      <c r="CV36" s="43"/>
      <c r="CW36" s="43"/>
      <c r="CX36" s="43"/>
      <c r="CY36" s="43"/>
      <c r="CZ36" s="43"/>
      <c r="DA36" s="43"/>
      <c r="DB36" s="43"/>
      <c r="DC36" s="43"/>
      <c r="DD36" s="43"/>
      <c r="DE36" s="43"/>
      <c r="DF36" s="43"/>
      <c r="DG36" s="43"/>
      <c r="DH36" s="43"/>
      <c r="DI36" s="43"/>
      <c r="DJ36" s="43"/>
      <c r="DK36" s="43"/>
      <c r="DL36" s="43"/>
      <c r="DM36" s="43"/>
      <c r="DN36" s="43"/>
      <c r="DO36" s="43"/>
      <c r="DP36" s="43"/>
    </row>
    <row r="37" spans="1:120" s="3" customFormat="1" ht="30" customHeight="1" thickBot="1" x14ac:dyDescent="0.25">
      <c r="A37" s="57"/>
      <c r="B37" s="80" t="s">
        <v>57</v>
      </c>
      <c r="C37" s="75" t="s">
        <v>42</v>
      </c>
      <c r="D37" s="37"/>
      <c r="E37" s="66">
        <f t="shared" si="52"/>
        <v>45761</v>
      </c>
      <c r="F37" s="66">
        <f t="shared" si="51"/>
        <v>45765</v>
      </c>
      <c r="G37" s="17"/>
      <c r="H37" s="17">
        <f t="shared" si="48"/>
        <v>5</v>
      </c>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c r="BM37" s="43"/>
      <c r="BN37" s="43"/>
      <c r="BO37" s="43"/>
      <c r="BP37" s="43"/>
      <c r="BQ37" s="43"/>
      <c r="BR37" s="43"/>
      <c r="BS37" s="43"/>
      <c r="BT37" s="43"/>
      <c r="BU37" s="43"/>
      <c r="BV37" s="43"/>
      <c r="BW37" s="43"/>
      <c r="BX37" s="43"/>
      <c r="BY37" s="43"/>
      <c r="BZ37" s="43"/>
      <c r="CA37" s="43"/>
      <c r="CB37" s="43"/>
      <c r="CC37" s="43"/>
      <c r="CD37" s="43"/>
      <c r="CE37" s="43"/>
      <c r="CF37" s="43"/>
      <c r="CG37" s="43"/>
      <c r="CH37" s="43"/>
      <c r="CI37" s="43"/>
      <c r="CJ37" s="43"/>
      <c r="CK37" s="43"/>
      <c r="CL37" s="43"/>
      <c r="CM37" s="43"/>
      <c r="CN37" s="43"/>
      <c r="CO37" s="43"/>
      <c r="CP37" s="43"/>
      <c r="CQ37" s="43"/>
      <c r="CR37" s="43"/>
      <c r="CS37" s="43"/>
      <c r="CT37" s="43"/>
      <c r="CU37" s="43"/>
      <c r="CV37" s="43"/>
      <c r="CW37" s="43"/>
      <c r="CX37" s="43"/>
      <c r="CY37" s="43"/>
      <c r="CZ37" s="43"/>
      <c r="DA37" s="43"/>
      <c r="DB37" s="43"/>
      <c r="DC37" s="43"/>
      <c r="DD37" s="43"/>
      <c r="DE37" s="43"/>
      <c r="DF37" s="43"/>
      <c r="DG37" s="43"/>
      <c r="DH37" s="43"/>
      <c r="DI37" s="43"/>
      <c r="DJ37" s="43"/>
      <c r="DK37" s="43"/>
      <c r="DL37" s="43"/>
      <c r="DM37" s="43"/>
      <c r="DN37" s="43"/>
      <c r="DO37" s="43"/>
      <c r="DP37" s="43"/>
    </row>
    <row r="38" spans="1:120" s="3" customFormat="1" ht="30" customHeight="1" thickBot="1" x14ac:dyDescent="0.25">
      <c r="A38" s="57" t="s">
        <v>27</v>
      </c>
      <c r="B38" s="81"/>
      <c r="C38" s="76"/>
      <c r="D38" s="16"/>
      <c r="E38" s="67"/>
      <c r="F38" s="67"/>
      <c r="G38" s="17"/>
      <c r="H38" s="17" t="str">
        <f t="shared" si="48"/>
        <v/>
      </c>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c r="BW38" s="43"/>
      <c r="BX38" s="43"/>
      <c r="BY38" s="43"/>
      <c r="BZ38" s="43"/>
      <c r="CA38" s="43"/>
      <c r="CB38" s="43"/>
      <c r="CC38" s="43"/>
      <c r="CD38" s="43"/>
      <c r="CE38" s="43"/>
      <c r="CF38" s="43"/>
      <c r="CG38" s="43"/>
      <c r="CH38" s="43"/>
      <c r="CI38" s="43"/>
      <c r="CJ38" s="43"/>
      <c r="CK38" s="43"/>
      <c r="CL38" s="43"/>
      <c r="CM38" s="43"/>
      <c r="CN38" s="43"/>
      <c r="CO38" s="43"/>
      <c r="CP38" s="43"/>
      <c r="CQ38" s="43"/>
      <c r="CR38" s="43"/>
      <c r="CS38" s="43"/>
      <c r="CT38" s="43"/>
      <c r="CU38" s="43"/>
      <c r="CV38" s="43"/>
      <c r="CW38" s="43"/>
      <c r="CX38" s="43"/>
      <c r="CY38" s="43"/>
      <c r="CZ38" s="43"/>
      <c r="DA38" s="43"/>
      <c r="DB38" s="43"/>
      <c r="DC38" s="43"/>
      <c r="DD38" s="43"/>
      <c r="DE38" s="43"/>
      <c r="DF38" s="43"/>
      <c r="DG38" s="43"/>
      <c r="DH38" s="43"/>
      <c r="DI38" s="43"/>
      <c r="DJ38" s="43"/>
      <c r="DK38" s="43"/>
      <c r="DL38" s="43"/>
      <c r="DM38" s="43"/>
      <c r="DN38" s="43"/>
      <c r="DO38" s="43"/>
      <c r="DP38" s="43"/>
    </row>
    <row r="39" spans="1:120" s="3" customFormat="1" ht="30" customHeight="1" thickBot="1" x14ac:dyDescent="0.25">
      <c r="A39" s="58" t="s">
        <v>26</v>
      </c>
      <c r="B39" s="100" t="s">
        <v>0</v>
      </c>
      <c r="C39" s="38"/>
      <c r="D39" s="39"/>
      <c r="E39" s="40"/>
      <c r="F39" s="41"/>
      <c r="G39" s="42"/>
      <c r="H39" s="42" t="str">
        <f t="shared" si="48"/>
        <v/>
      </c>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c r="BU39" s="45"/>
      <c r="BV39" s="45"/>
      <c r="BW39" s="45"/>
      <c r="BX39" s="45"/>
      <c r="BY39" s="45"/>
      <c r="BZ39" s="45"/>
      <c r="CA39" s="45"/>
      <c r="CB39" s="45"/>
      <c r="CC39" s="45"/>
      <c r="CD39" s="45"/>
      <c r="CE39" s="45"/>
      <c r="CF39" s="45"/>
      <c r="CG39" s="45"/>
      <c r="CH39" s="45"/>
      <c r="CI39" s="45"/>
      <c r="CJ39" s="45"/>
      <c r="CK39" s="45"/>
      <c r="CL39" s="45"/>
      <c r="CM39" s="45"/>
      <c r="CN39" s="45"/>
      <c r="CO39" s="45"/>
      <c r="CP39" s="45"/>
      <c r="CQ39" s="45"/>
      <c r="CR39" s="45"/>
      <c r="CS39" s="45"/>
      <c r="CT39" s="45"/>
      <c r="CU39" s="45"/>
      <c r="CV39" s="45"/>
      <c r="CW39" s="45"/>
      <c r="CX39" s="45"/>
      <c r="CY39" s="45"/>
      <c r="CZ39" s="45"/>
      <c r="DA39" s="45"/>
      <c r="DB39" s="45"/>
      <c r="DC39" s="45"/>
      <c r="DD39" s="45"/>
      <c r="DE39" s="45"/>
      <c r="DF39" s="45"/>
      <c r="DG39" s="45"/>
      <c r="DH39" s="45"/>
      <c r="DI39" s="45"/>
      <c r="DJ39" s="45"/>
      <c r="DK39" s="45"/>
      <c r="DL39" s="45"/>
      <c r="DM39" s="45"/>
      <c r="DN39" s="45"/>
      <c r="DO39" s="45"/>
      <c r="DP39" s="45"/>
    </row>
    <row r="40" spans="1:120" ht="30" customHeight="1" x14ac:dyDescent="0.2">
      <c r="G40" s="6"/>
    </row>
    <row r="41" spans="1:120" ht="30" customHeight="1" x14ac:dyDescent="0.2">
      <c r="C41" s="14"/>
      <c r="F41" s="59"/>
    </row>
    <row r="42" spans="1:120" ht="30" customHeight="1" x14ac:dyDescent="0.2">
      <c r="C42" s="15"/>
    </row>
  </sheetData>
  <mergeCells count="20">
    <mergeCell ref="CV4:DB4"/>
    <mergeCell ref="DC4:DI4"/>
    <mergeCell ref="DJ4:DP4"/>
    <mergeCell ref="BM4:BS4"/>
    <mergeCell ref="BT4:BZ4"/>
    <mergeCell ref="CA4:CG4"/>
    <mergeCell ref="CH4:CN4"/>
    <mergeCell ref="CO4:CU4"/>
    <mergeCell ref="AY4:BE4"/>
    <mergeCell ref="BF4:BL4"/>
    <mergeCell ref="E3:F3"/>
    <mergeCell ref="I4:O4"/>
    <mergeCell ref="P4:V4"/>
    <mergeCell ref="W4:AC4"/>
    <mergeCell ref="AD4:AJ4"/>
    <mergeCell ref="C3:D3"/>
    <mergeCell ref="C4:D4"/>
    <mergeCell ref="B5:G5"/>
    <mergeCell ref="AK4:AQ4"/>
    <mergeCell ref="AR4:AX4"/>
  </mergeCells>
  <conditionalFormatting sqref="D7:D31">
    <cfRule type="dataBar" priority="49">
      <dataBar>
        <cfvo type="num" val="0"/>
        <cfvo type="num" val="1"/>
        <color theme="0" tint="-0.249977111117893"/>
      </dataBar>
      <extLst>
        <ext xmlns:x14="http://schemas.microsoft.com/office/spreadsheetml/2009/9/main" uri="{B025F937-C7B1-47D3-B67F-A62EFF666E3E}">
          <x14:id>{D54B25E8-E129-4A43-9A4B-00F6367CC2EF}</x14:id>
        </ext>
      </extLst>
    </cfRule>
  </conditionalFormatting>
  <conditionalFormatting sqref="D32:D39">
    <cfRule type="dataBar" priority="66">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DP39">
    <cfRule type="expression" dxfId="2" priority="3">
      <formula>AND(TODAY()&gt;=I$5,TODAY()&lt;J$5)</formula>
    </cfRule>
  </conditionalFormatting>
  <conditionalFormatting sqref="I7:DP39">
    <cfRule type="expression" dxfId="1" priority="1">
      <formula>AND(task_start&lt;=I$5,ROUNDDOWN((task_end-task_start+1)*task_progress,0)+task_start-1&gt;=I$5)</formula>
    </cfRule>
    <cfRule type="expression" dxfId="0" priority="2" stopIfTrue="1">
      <formula>AND(task_end&gt;=I$5,task_start&lt;J$5)</formula>
    </cfRule>
  </conditionalFormatting>
  <dataValidations disablePrompts="1"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D54B25E8-E129-4A43-9A4B-00F6367CC2EF}">
            <x14:dataBar minLength="0" maxLength="100" gradient="0">
              <x14:cfvo type="num">
                <xm:f>0</xm:f>
              </x14:cfvo>
              <x14:cfvo type="num">
                <xm:f>1</xm:f>
              </x14:cfvo>
              <x14:negativeFillColor rgb="FFFF0000"/>
              <x14:axisColor rgb="FF000000"/>
            </x14:dataBar>
          </x14:cfRule>
          <xm:sqref>D7:D31</xm:sqref>
        </x14:conditionalFormatting>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D32:D39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D53E6-3D10-EB41-AF86-C079A92AF5D3}">
  <dimension ref="A1:R21"/>
  <sheetViews>
    <sheetView workbookViewId="0">
      <selection activeCell="R6" sqref="R6"/>
    </sheetView>
  </sheetViews>
  <sheetFormatPr baseColWidth="10" defaultRowHeight="16" x14ac:dyDescent="0.2"/>
  <cols>
    <col min="1" max="16384" width="10.83203125" style="104"/>
  </cols>
  <sheetData>
    <row r="1" spans="1:18" x14ac:dyDescent="0.2">
      <c r="A1" s="101" t="s">
        <v>86</v>
      </c>
      <c r="N1" s="104">
        <v>1</v>
      </c>
      <c r="O1" s="104">
        <v>2</v>
      </c>
      <c r="P1" s="104">
        <v>3</v>
      </c>
    </row>
    <row r="2" spans="1:18" x14ac:dyDescent="0.2">
      <c r="A2" s="102" t="s">
        <v>70</v>
      </c>
      <c r="N2" s="105" t="s">
        <v>87</v>
      </c>
      <c r="O2" s="105" t="s">
        <v>90</v>
      </c>
      <c r="P2" s="105" t="s">
        <v>92</v>
      </c>
      <c r="R2" s="104" t="s">
        <v>93</v>
      </c>
    </row>
    <row r="3" spans="1:18" x14ac:dyDescent="0.2">
      <c r="A3" s="102" t="s">
        <v>71</v>
      </c>
      <c r="N3" s="104" t="s">
        <v>88</v>
      </c>
      <c r="O3" s="105" t="s">
        <v>91</v>
      </c>
      <c r="P3" s="104" t="s">
        <v>88</v>
      </c>
      <c r="R3" s="104" t="s">
        <v>94</v>
      </c>
    </row>
    <row r="4" spans="1:18" x14ac:dyDescent="0.2">
      <c r="A4" s="102" t="s">
        <v>72</v>
      </c>
      <c r="N4" s="104" t="s">
        <v>89</v>
      </c>
      <c r="O4" s="105" t="s">
        <v>89</v>
      </c>
      <c r="P4" s="104" t="s">
        <v>91</v>
      </c>
      <c r="R4" s="104" t="s">
        <v>95</v>
      </c>
    </row>
    <row r="5" spans="1:18" x14ac:dyDescent="0.2">
      <c r="A5" s="102" t="s">
        <v>73</v>
      </c>
      <c r="O5" s="104" t="s">
        <v>87</v>
      </c>
      <c r="P5" s="104" t="s">
        <v>90</v>
      </c>
      <c r="R5" s="104" t="s">
        <v>96</v>
      </c>
    </row>
    <row r="6" spans="1:18" x14ac:dyDescent="0.2">
      <c r="A6" s="102" t="s">
        <v>74</v>
      </c>
      <c r="O6" s="104" t="s">
        <v>92</v>
      </c>
    </row>
    <row r="7" spans="1:18" x14ac:dyDescent="0.2">
      <c r="A7" s="102" t="s">
        <v>75</v>
      </c>
      <c r="O7" s="104" t="s">
        <v>88</v>
      </c>
    </row>
    <row r="8" spans="1:18" x14ac:dyDescent="0.2">
      <c r="A8" s="102" t="s">
        <v>76</v>
      </c>
    </row>
    <row r="9" spans="1:18" x14ac:dyDescent="0.2">
      <c r="A9" s="103"/>
    </row>
    <row r="10" spans="1:18" x14ac:dyDescent="0.2">
      <c r="A10" s="101" t="s">
        <v>77</v>
      </c>
    </row>
    <row r="11" spans="1:18" x14ac:dyDescent="0.2">
      <c r="A11" s="102" t="s">
        <v>78</v>
      </c>
    </row>
    <row r="12" spans="1:18" x14ac:dyDescent="0.2">
      <c r="A12" s="102" t="s">
        <v>79</v>
      </c>
    </row>
    <row r="13" spans="1:18" x14ac:dyDescent="0.2">
      <c r="A13" s="102" t="s">
        <v>80</v>
      </c>
    </row>
    <row r="14" spans="1:18" x14ac:dyDescent="0.2">
      <c r="A14" s="102" t="s">
        <v>81</v>
      </c>
    </row>
    <row r="15" spans="1:18" x14ac:dyDescent="0.2">
      <c r="A15" s="102" t="s">
        <v>82</v>
      </c>
    </row>
    <row r="16" spans="1:18" x14ac:dyDescent="0.2">
      <c r="A16" s="103"/>
    </row>
    <row r="17" spans="1:1" x14ac:dyDescent="0.2">
      <c r="A17" s="103"/>
    </row>
    <row r="18" spans="1:1" x14ac:dyDescent="0.2">
      <c r="A18" s="101" t="s">
        <v>83</v>
      </c>
    </row>
    <row r="19" spans="1:1" x14ac:dyDescent="0.2">
      <c r="A19" s="102" t="s">
        <v>84</v>
      </c>
    </row>
    <row r="20" spans="1:1" x14ac:dyDescent="0.2">
      <c r="A20" s="102" t="s">
        <v>85</v>
      </c>
    </row>
    <row r="21" spans="1:1" x14ac:dyDescent="0.2">
      <c r="A21" s="102"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7" zoomScaleNormal="100" workbookViewId="0"/>
  </sheetViews>
  <sheetFormatPr baseColWidth="10" defaultColWidth="9.1640625" defaultRowHeight="14" x14ac:dyDescent="0.2"/>
  <cols>
    <col min="1" max="1" width="87.1640625" style="47" customWidth="1"/>
    <col min="2" max="16384" width="9.1640625" style="2"/>
  </cols>
  <sheetData>
    <row r="1" spans="1:2" ht="46.5" customHeight="1" x14ac:dyDescent="0.2"/>
    <row r="2" spans="1:2" s="49" customFormat="1" ht="16" x14ac:dyDescent="0.2">
      <c r="A2" s="48" t="s">
        <v>12</v>
      </c>
      <c r="B2" s="48"/>
    </row>
    <row r="3" spans="1:2" s="53" customFormat="1" ht="27" customHeight="1" x14ac:dyDescent="0.2">
      <c r="A3" s="54" t="s">
        <v>17</v>
      </c>
      <c r="B3" s="54"/>
    </row>
    <row r="4" spans="1:2" s="50" customFormat="1" ht="26" x14ac:dyDescent="0.3">
      <c r="A4" s="51" t="s">
        <v>11</v>
      </c>
    </row>
    <row r="5" spans="1:2" ht="74" customHeight="1" x14ac:dyDescent="0.2">
      <c r="A5" s="52" t="s">
        <v>20</v>
      </c>
    </row>
    <row r="6" spans="1:2" ht="26.25" customHeight="1" x14ac:dyDescent="0.2">
      <c r="A6" s="51" t="s">
        <v>23</v>
      </c>
    </row>
    <row r="7" spans="1:2" s="47" customFormat="1" ht="205" customHeight="1" x14ac:dyDescent="0.2">
      <c r="A7" s="56" t="s">
        <v>22</v>
      </c>
    </row>
    <row r="8" spans="1:2" s="50" customFormat="1" ht="26" x14ac:dyDescent="0.3">
      <c r="A8" s="51" t="s">
        <v>13</v>
      </c>
    </row>
    <row r="9" spans="1:2" ht="48" x14ac:dyDescent="0.2">
      <c r="A9" s="52" t="s">
        <v>21</v>
      </c>
    </row>
    <row r="10" spans="1:2" s="47" customFormat="1" ht="28" customHeight="1" x14ac:dyDescent="0.2">
      <c r="A10" s="55" t="s">
        <v>19</v>
      </c>
    </row>
    <row r="11" spans="1:2" s="50" customFormat="1" ht="26" x14ac:dyDescent="0.3">
      <c r="A11" s="51" t="s">
        <v>10</v>
      </c>
    </row>
    <row r="12" spans="1:2" ht="32" x14ac:dyDescent="0.2">
      <c r="A12" s="52" t="s">
        <v>18</v>
      </c>
    </row>
    <row r="13" spans="1:2" s="47" customFormat="1" ht="28" customHeight="1" x14ac:dyDescent="0.2">
      <c r="A13" s="55" t="s">
        <v>4</v>
      </c>
    </row>
    <row r="14" spans="1:2" s="50" customFormat="1" ht="26" x14ac:dyDescent="0.3">
      <c r="A14" s="51" t="s">
        <v>14</v>
      </c>
    </row>
    <row r="15" spans="1:2" ht="75" customHeight="1" x14ac:dyDescent="0.2">
      <c r="A15" s="52" t="s">
        <v>15</v>
      </c>
    </row>
    <row r="16" spans="1:2" ht="64" x14ac:dyDescent="0.2">
      <c r="A16" s="52" t="s">
        <v>16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Template>TM16400962</Template>
  <TotalTime>0</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ProjectSchedule</vt:lpstr>
      <vt:lpstr>Team Roles</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2025-01-30T22:49:36Z</dcterms:modified>
</cp:coreProperties>
</file>